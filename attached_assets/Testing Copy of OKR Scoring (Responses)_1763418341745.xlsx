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vlookup" sheetId="2" r:id="rId5"/>
    <sheet state="visible" name="Pivot Table 2" sheetId="3" r:id="rId6"/>
  </sheets>
  <definedNames>
    <definedName hidden="1" localSheetId="0" name="_xlnm._FilterDatabase">'Form Responses 1'!$A$1:$Y$323</definedName>
    <definedName hidden="1" localSheetId="1" name="_xlnm._FilterDatabase">vlookup!$A$1:$X$65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7">
      <text>
        <t xml:space="preserve">Responder updated this value.</t>
      </text>
    </comment>
    <comment authorId="0" ref="M7">
      <text>
        <t xml:space="preserve">Responder updated this value.</t>
      </text>
    </comment>
    <comment authorId="0" ref="G59">
      <text>
        <t xml:space="preserve">Responder updated this value.</t>
      </text>
    </comment>
    <comment authorId="0" ref="J59">
      <text>
        <t xml:space="preserve">Responder updated this value.</t>
      </text>
    </comment>
    <comment authorId="0" ref="G60">
      <text>
        <t xml:space="preserve">Responder updated this value.</t>
      </text>
    </comment>
    <comment authorId="0" ref="O74">
      <text>
        <t xml:space="preserve">Responder updated this value.</t>
      </text>
    </comment>
    <comment authorId="0" ref="R74">
      <text>
        <t xml:space="preserve">Responder updated this value.</t>
      </text>
    </comment>
    <comment authorId="0" ref="R75">
      <text>
        <t xml:space="preserve">Responder updated this value.</t>
      </text>
    </comment>
    <comment authorId="0" ref="R76">
      <text>
        <t xml:space="preserve">Responder updated this value.</t>
      </text>
    </comment>
    <comment authorId="0" ref="F79">
      <text>
        <t xml:space="preserve">Responder updated this value.</t>
      </text>
    </comment>
    <comment authorId="0" ref="F80">
      <text>
        <t xml:space="preserve">Responder updated this value.</t>
      </text>
    </comment>
    <comment authorId="0" ref="J154">
      <text>
        <t xml:space="preserve">Responder updated this value.</t>
      </text>
    </comment>
    <comment authorId="0" ref="K203">
      <text>
        <t xml:space="preserve">Responder updated this value.</t>
      </text>
    </comment>
    <comment authorId="0" ref="E276">
      <text>
        <t xml:space="preserve">Responder updated this value.</t>
      </text>
    </comment>
    <comment authorId="0" ref="L276">
      <text>
        <t xml:space="preserve">Responder updated this value.</t>
      </text>
    </comment>
    <comment authorId="0" ref="M276">
      <text>
        <t xml:space="preserve">Responder updated this value.</t>
      </text>
    </comment>
    <comment authorId="0" ref="R276">
      <text>
        <t xml:space="preserve">Responder updated this value.</t>
      </text>
    </comment>
    <comment authorId="0" ref="K308">
      <text>
        <t xml:space="preserve">Responder updated this value.</t>
      </text>
    </comment>
    <comment authorId="0" ref="L308">
      <text>
        <t xml:space="preserve">Responder updated this value.</t>
      </text>
    </comment>
    <comment authorId="0" ref="M308">
      <text>
        <t xml:space="preserve">Responder updated this value.</t>
      </text>
    </comment>
    <comment authorId="0" ref="R308">
      <text>
        <t xml:space="preserve">Responder updated this value.</t>
      </text>
    </comment>
    <comment authorId="0" ref="G318">
      <text>
        <t xml:space="preserve">Responder updated this value.</t>
      </text>
    </comment>
    <comment authorId="0" ref="J318">
      <text>
        <t xml:space="preserve">Responder updated this value.</t>
      </text>
    </comment>
    <comment authorId="0" ref="R318">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Responder updated this value.</t>
      </text>
    </comment>
    <comment authorId="0" ref="B20">
      <text>
        <t xml:space="preserve">Responder updated this value.</t>
      </text>
    </comment>
    <comment authorId="0" ref="B21">
      <text>
        <t xml:space="preserve">Responder updated this value.</t>
      </text>
    </comment>
    <comment authorId="0" ref="D42">
      <text>
        <t xml:space="preserve">Responder updated this value.</t>
      </text>
    </comment>
    <comment authorId="0" ref="F49">
      <text>
        <t xml:space="preserve">Responder updated this value.</t>
      </text>
    </comment>
  </commentList>
</comments>
</file>

<file path=xl/sharedStrings.xml><?xml version="1.0" encoding="utf-8"?>
<sst xmlns="http://schemas.openxmlformats.org/spreadsheetml/2006/main" count="2722" uniqueCount="651">
  <si>
    <t>Timestamp</t>
  </si>
  <si>
    <t>concatenate unique identifier attempt.</t>
  </si>
  <si>
    <t>Email Address</t>
  </si>
  <si>
    <t>Your Name</t>
  </si>
  <si>
    <t>Please select the year and quarter you will score.</t>
  </si>
  <si>
    <t>Which parent SPU (School, Department, Unit) is scoring this OKR?</t>
  </si>
  <si>
    <t>Which sub-unit or division within your SPU is this score for?</t>
  </si>
  <si>
    <t>If you collaborated with another Primary SPU, please select them here.</t>
  </si>
  <si>
    <t>Key Result letters</t>
  </si>
  <si>
    <t xml:space="preserve">Which numbered OKR are you scoring?  </t>
  </si>
  <si>
    <t xml:space="preserve">Key Result 1: Please enter your numerical score (0-100). </t>
  </si>
  <si>
    <r>
      <rPr>
        <rFont val="Arial"/>
        <b/>
        <color theme="1"/>
      </rPr>
      <t>Key Result 2:</t>
    </r>
    <r>
      <rPr>
        <rFont val="Arial"/>
        <color theme="1"/>
      </rPr>
      <t xml:space="preserve"> </t>
    </r>
    <r>
      <rPr>
        <rFont val="Arial"/>
        <b/>
        <color theme="1"/>
      </rPr>
      <t xml:space="preserve">Please enter your numerical score (0-100). </t>
    </r>
  </si>
  <si>
    <r>
      <rPr>
        <rFont val="Arial"/>
        <b/>
        <color theme="1"/>
      </rPr>
      <t>Key Result 3:</t>
    </r>
    <r>
      <rPr>
        <rFont val="Arial"/>
        <color theme="1"/>
      </rPr>
      <t xml:space="preserve"> </t>
    </r>
    <r>
      <rPr>
        <rFont val="Arial"/>
        <b/>
        <color theme="1"/>
      </rPr>
      <t xml:space="preserve">Please enter your numerical score (0-100). </t>
    </r>
  </si>
  <si>
    <r>
      <rPr>
        <rFont val="Arial"/>
        <b/>
        <color theme="1"/>
      </rPr>
      <t>Key Result 4:</t>
    </r>
    <r>
      <rPr>
        <rFont val="Arial"/>
        <color theme="1"/>
      </rPr>
      <t xml:space="preserve"> </t>
    </r>
    <r>
      <rPr>
        <rFont val="Arial"/>
        <b/>
        <color theme="1"/>
      </rPr>
      <t>Please enter your numerical score (0-100).</t>
    </r>
  </si>
  <si>
    <r>
      <rPr>
        <rFont val="Arial"/>
        <b/>
        <color theme="1"/>
      </rPr>
      <t xml:space="preserve">If you have more than 4 Key Results for this Objective, please enter the Key Result number and numerical scores here. </t>
    </r>
    <r>
      <rPr>
        <rFont val="Arial"/>
        <i/>
        <color theme="1"/>
      </rPr>
      <t xml:space="preserve">(ex: KR5: 50, KR6: 90, etc.) </t>
    </r>
  </si>
  <si>
    <t xml:space="preserve"> </t>
  </si>
  <si>
    <t>Average score</t>
  </si>
  <si>
    <t xml:space="preserve">Please summarize any outcomes, challenges, accomplishments, or achievements for this OKR.  </t>
  </si>
  <si>
    <t/>
  </si>
  <si>
    <t>amanda.harris@macu.edu</t>
  </si>
  <si>
    <t>Amanda Harris</t>
  </si>
  <si>
    <t>Q1: June 2024 - August 2024</t>
  </si>
  <si>
    <t>Human Resources, Strategic Initiatives</t>
  </si>
  <si>
    <t>1.D</t>
  </si>
  <si>
    <t>3RD</t>
  </si>
  <si>
    <t xml:space="preserve">This OKR was achieved with a score of 90. Only seven Lunch and Learn sessions are scheduled between September 2024 and April 2025 due to room availability. The April 2025 Event is event number 7 and is pending a date for the same reason as of the submission of this score. We will likely reach the eight-event minimum, but the final event will be a conference-style event, not a lunch and learn. This score will be updated as needed, should that occur. Topics for the Lunch and Learn series include wellness programs, managing conflict biblically and ethically, communications updates, Watermark Training, building successful relationships, new HR technology, and the final Professional Development Day. </t>
  </si>
  <si>
    <t>Strategic Initiatives</t>
  </si>
  <si>
    <t>2.C</t>
  </si>
  <si>
    <t>2ND</t>
  </si>
  <si>
    <t xml:space="preserve">Three opportunities for support or training in OKRs were available via "lunch and learn" activities. June 20, 2024: OKR Best Practices (10 participants). July 18, 2024: Scoring OKRs (approximately 10 participants.) August 20, 2024: SCHEDULED - OKR open drafting session. 
The Score is 90%, as the final event is scheduled the day after this score is due. While the events were made available, participation in the first two events accounted for only 6% of the full-time employees and faculty at the University. Recordings of the events were shared with the campus via the MACU minute, and copies of the presentation were shared with IRE. </t>
  </si>
  <si>
    <t>URX team. (not an official SPU)</t>
  </si>
  <si>
    <t>2.D</t>
  </si>
  <si>
    <t>1ST</t>
  </si>
  <si>
    <t xml:space="preserve">The 5 components to be achieved with this KR are Structure, branding, communication, and training resources. The structure was met at 100%, with the values successfully updated. Branding was reached at approximately 80%, as the primary values training document was completed and the Conceptual Framework document was updated. Additional branding items have yet to be completed. Communication reached 80% as the new values were shared with the faculty and staff. Students and alumni are pending. Training resources are scored at 0% and will be delayed until Q2. Activities are pending. The overall score of 65 is applied to this OKR. </t>
  </si>
  <si>
    <t>Q2: September 2024 - November 2024</t>
  </si>
  <si>
    <t>Alumni Engagement and Communications, Facilities Grounds and Transportation, Strategic Initiatives</t>
  </si>
  <si>
    <t>2.A</t>
  </si>
  <si>
    <t xml:space="preserve">KR 1: This OKR is scored at 80% completion for the following reasons: First, a phased renovation/update plan was completed in October. Each phase references one floor of the building, with phase 1 referencing the first floor, phase 2 the second floor, and phase 3 the basement/library. Each phase includes 3 sub-phases starting with paint and flooring and art, then furniture and minor renovations, and finally, significant renovations/upgrades. Phase 1.1 updates began in November 2024 and are scheduled to be completed by January 1, 2025. 
The OKR is not scored higher as the budget, schedules, and permits are still in flux, with possible adjustments due to larger campus plans.  </t>
  </si>
  <si>
    <t>Strategic Initiatives, Cabinet Member- Amanda Harris</t>
  </si>
  <si>
    <t xml:space="preserve">KR 1: The majority of the marketing and website content has been updated to the new Organizational Values. However, some lingering handouts or links to old content are likely still to be found floating around the campus. These items will have to be removed over time as they are discovered. The organizational values are now posted outside the welcome center and the website and evangelnet have been updated with the new content. 
KR 2: Value activities have been met through Gratitude month. So far in November, employees and students have been given gratitude cards, weekly gratitude articles, and "Token of Gratitude" cookies. A social media activity will post later this month as well. In December, URX will collaborate with Student Affairs to create a "hospitality meal train" for those students remaining on campus during the Christmas Break. </t>
  </si>
  <si>
    <t>Q3: December 2024 - February 2025</t>
  </si>
  <si>
    <t>Campus Ministries, Strategic Initiatives</t>
  </si>
  <si>
    <t>1.C</t>
  </si>
  <si>
    <t xml:space="preserve">KR1: 60% The prayer labyrinth is designed, purchased, and pending installation on March 27. The Prayer Wall design is still underway and delaying to a future quarter due to other pending campus improvement projects. 
KR2: 50% - The Labyrinth has an installation date chosen within 90 days of completed design but will not take place until Q4. The Prayer Wall does not yet have an implementation date as noted in KR1.  
KR3: 50% - The CHM faculty have agreed to engage students in the installation of the prayer labyrinth in March. They will also offer training on its use in the Annual Employee Gathering on April 11, 2025. Marking this at 50% because at this point, the Prayer Wall is not included in the future event. </t>
  </si>
  <si>
    <t xml:space="preserve">1ST: Between November and February, 12 employees engaged in GiANTos for the first time: 5 existing employees and 7 new employees. This gives us a quantity score of 60%. However, we saw a 125% increase in completed assessments through GiANTOS between November and February. The average of those two scores give us a final achievement score of 92.5% . Going forward, the focus will be on those remaining individuals who have never accessed the software. 
2ND: 0% achievement. After reviewing the plan to engage people leaders in small targeted training series through GiANT, President Greenwald and I determined to begin with the Leadership Committee in May 2025 to gain buy-in. Therefore, this Key Result will delay to Q4 and be included in another GiANTos engagement OKR. </t>
  </si>
  <si>
    <t>Q4: March 2025 - May 2025</t>
  </si>
  <si>
    <t xml:space="preserve">KR1: The number of employees who have never accessed GiANTos reduced from 60 people to 55 people. 
KR2: This quarter, I chose to use the Team Performance Assessment content to encourage department and cabinet leaders to engage their teams in the content. I guided the Bursar and Business office through the GiANT Team Performance Assessment this quarter. The Student Affairs team is scheduled to complete the Team Performance Assessment for their leadership team by the end of May. In addition, the Fall 2025 RA students completed the 5 voices assessment as a group. They will complete a 30 week training, monitored by me and the Resident Directors, beginning in August 2025. </t>
  </si>
  <si>
    <t>2.D, 3.A</t>
  </si>
  <si>
    <t xml:space="preserve">KR1: The WIBGI committee met and provided scoring for all ideas. This was a key part of the process. However, only one of the WIBGIs scored were directly acted upon by me due to conflicting priorities with events and travel. Scoring rests at 60% completion. 
KR2: This is scored at a 15%. After meeting with a WIBGI submitter who requested child care, I was unable to conduct any possible partnership meetings during this time frame. The highly regulated nature of providing child care, may delay implementation of this particular WIBGI for some time. </t>
  </si>
  <si>
    <t>ashley.gotcher@macu.edu</t>
  </si>
  <si>
    <t>Ashley Gotcher</t>
  </si>
  <si>
    <t>Alumni Engagement</t>
  </si>
  <si>
    <t xml:space="preserve">We were able to get communication via postcard and social media messaging. We also have a landing page for alumni to visit and get up to date information: www.macu.edu/alumni/golden-grads. </t>
  </si>
  <si>
    <t>This was more in collaboration with Gabriel and Church Relations than originally planned so we could have both an alumni and pastor/University friends event at Convention  - we have been able to utilize social media and the monthly alumni email to help us communicate</t>
  </si>
  <si>
    <t>Alumni Engagement and Communications</t>
  </si>
  <si>
    <t xml:space="preserve">The major challenge was the time commitment it would take to develop a mentorship program. Now that we have a full campus ministries team, I would like to work with them on a program that they are using for discipleship to introduce this and gain more buy-in from our alumni. </t>
  </si>
  <si>
    <t>1.A</t>
  </si>
  <si>
    <t>5TH</t>
  </si>
  <si>
    <t xml:space="preserve">There has been a challenge on getting updated information from other departments - largely impart due to the whirlwind of summer. A major accomplishment was to have confirmed and aligned verbiage to what enrollment and admissions are using with prospective students to guide us on the navigation menu. </t>
  </si>
  <si>
    <t>4TH</t>
  </si>
  <si>
    <t xml:space="preserve">We have 2/3 scheduled with the final one pending a confirmation. We had to pivot on the last training to determine what was the greatest need for stakeholders and the University. </t>
  </si>
  <si>
    <t>3.C</t>
  </si>
  <si>
    <t>6TH</t>
  </si>
  <si>
    <t xml:space="preserve">We were able to get these videos completed and integrated! Looking forward to seeing what kind of impact they have - specifically for our online students - to feel connected and have the information they need. </t>
  </si>
  <si>
    <t xml:space="preserve">This year, we increased participation by roughly 30% and had at least 5 notable and influential alumni involved in activities throughout the weekend, which we anticipate will lead to keeping momentum for homecoming festivities in the future. </t>
  </si>
  <si>
    <t xml:space="preserve">We are able to implement ~50% of the changes we need to make to the homepage - we are still pending the menu and mega menu. We were able to update and implement 100% of the degree sheet updates and implemented on their program pages. </t>
  </si>
  <si>
    <t xml:space="preserve">We were able to record and implement 3 student stories, which are also being used for commercials in our streaming of athletics events. </t>
  </si>
  <si>
    <t>7TH</t>
  </si>
  <si>
    <t xml:space="preserve">I gave us a score of 50 because we have looked at a few different programs that could help with submission and also discussed best practices internally for when a project request is submitted, but we have not been able to move the needle on solidifying plans due to the whirlwind the last 2 months have been. We plan to carry this OKR over to the next quarter. </t>
  </si>
  <si>
    <t>Cabinet Member- Ashley Gotcher</t>
  </si>
  <si>
    <t xml:space="preserve">Full divisional goal. </t>
  </si>
  <si>
    <t xml:space="preserve">We successfully completed reading and discussing "Women, Work, and Calling" as a division. </t>
  </si>
  <si>
    <t xml:space="preserve">This is for Evangel Corner/Mailroom - which was not on the list to select from. </t>
  </si>
  <si>
    <t>3.D</t>
  </si>
  <si>
    <t xml:space="preserve">We met with a vendor, but the ability to implement wasn't there without a major overhaul of our carding/ID system, which we were not willing to do. We have ongoing conversations with the Bursar's Office on how to do this. One major obstacle that we uncovered in meeting with vendors is that we use Square for all of our sales. </t>
  </si>
  <si>
    <t xml:space="preserve">This is for the Mailroom, which was not listen on the groups to select from. </t>
  </si>
  <si>
    <t xml:space="preserve">Although we weren't able to obtain any sort of approval for Amazon or UPS during this time due to their own restrictions and requirements, we were able to understand the process and what could be needed in the future. We also were able to obtain a greetly license as a system to notify staff and faculty when a package has arrived for them and give them the option to pick it up right then. We plan to roll out to students at a later date. </t>
  </si>
  <si>
    <t>Communications</t>
  </si>
  <si>
    <t xml:space="preserve">We have the Canva training planned and scheduled, but were not able to get the training itself before the end of Q3. This training is scheduled on 4/11, during Q4. 
We have the Crisis Communications Plan complete, as a fluid document, but have not been able to train Leadership on the complete plan yet. </t>
  </si>
  <si>
    <t xml:space="preserve">We have the external form and internal project tracking system selected, however we have not been able to pilot this enough before communicating this new process to other departments. </t>
  </si>
  <si>
    <t xml:space="preserve">Through a collaborative effort, we are able to use many of the content pieces that were created for our brand campaign on billboards, for email campaigns, the macu.edu website, and we are continually banking assets that we will be able to use in the future, resulting in having more useable media content than before. </t>
  </si>
  <si>
    <t xml:space="preserve">We successfully communicated Grad Night and Commencement details in the following four mediums: email, social, website, print. We did all through copy and videos, producing more graduation-related informational video content than ever before. </t>
  </si>
  <si>
    <t>Evangel Corner/Mailroom</t>
  </si>
  <si>
    <t>2.B</t>
  </si>
  <si>
    <t xml:space="preserve">We were able to get Greetly set up for the mailroom to notify staff and faculty of packages/mail that has been delivered and give them the option to pick it up or wait to have it delivered. All student workers in the mailroom have been trained on the process. It has been so successful that we plan to roll this out to students before the end of the semester. </t>
  </si>
  <si>
    <t xml:space="preserve">We were able to meet with the Bursar and Business office and through several conversations and reviewing of technology, it is not viable at this point in time. We hope to revisit this when we have an updated contract with Pioneer to explore potential options there. </t>
  </si>
  <si>
    <t xml:space="preserve">We were able to implement QR codes on the following, resulting in a triple amount of revenue from last year to this year: alumni newsletters, commencement program, Grad Night initiations, email through constant contact, and TVs around campus. </t>
  </si>
  <si>
    <t>blake.carlson@macu.edu</t>
  </si>
  <si>
    <t>Blake Carlson</t>
  </si>
  <si>
    <t>Student Affairs</t>
  </si>
  <si>
    <t>Housing</t>
  </si>
  <si>
    <t xml:space="preserve">The Resident Directors were hired during this quarter and had not had a chance to work this OKR. They are prepared to complete this quarter’s identification and implement during the next quarter. </t>
  </si>
  <si>
    <t>Student Life</t>
  </si>
  <si>
    <t>We have identified what technology to use. And next quarter will implement.</t>
  </si>
  <si>
    <t>3.A</t>
  </si>
  <si>
    <t xml:space="preserve">We had 2 trainings and had more than 75% RA participation for both. </t>
  </si>
  <si>
    <t xml:space="preserve">Students and staff believed that using the scanner for attendance would capture a more accurate picture of attendance. This usage created confusion, and students didn't want to scan if they were not getting chapel credit for attendance at the events. </t>
  </si>
  <si>
    <t>1.A, 2.A, 3.A</t>
  </si>
  <si>
    <t xml:space="preserve">We are reviewing our data and realize there are some groups not well represented in our events. We are partnering with Athletics to ensure all athletes know about the Spring Banquet. </t>
  </si>
  <si>
    <t>HOUSING</t>
  </si>
  <si>
    <t>We assigned ourselves a 10% because we have started outlining key components of the RA Evaluation but have not yet formulated a complete structure or tracking system. While we have made some progress in identifying essential evaluation areas, we have not fully developed measurable criteria, assessment tools, or a method for implementation.
Given the demands of other pressing responsibilities, the RA Evaluation has taken a backseat. However, we recognize its importance and aim to refine and complete it in the coming weeks.</t>
  </si>
  <si>
    <t xml:space="preserve">The CAB Marketing Plan was produced, but not as thoroughly as we intended. We did collaborate with 3 departments in the production and execution of the Spring Banquet. </t>
  </si>
  <si>
    <t>bobbie.harris@macu.edu</t>
  </si>
  <si>
    <t>Bobbie Spurgeon-Harris</t>
  </si>
  <si>
    <t>Cabinet member- Bobbie Spurgeon-Harris</t>
  </si>
  <si>
    <t xml:space="preserve">We are in conversation with Paycom and People's Church regarding an MOU.  We have submitted an MOU for consideration with Kimray. We finalized the MOU with the Intern Academy. </t>
  </si>
  <si>
    <t>??/??/???? ??:??:??</t>
  </si>
  <si>
    <t>Cabinet Member- Bobbie Spurgeon-Harris</t>
  </si>
  <si>
    <t>2.A, 2.B, 2.C</t>
  </si>
  <si>
    <t>Was not recorded on response form but was on tracking master for Y1 Q2 // manually entered in by CB</t>
  </si>
  <si>
    <t>submitted by POSW</t>
  </si>
  <si>
    <t>Brad Kendall</t>
  </si>
  <si>
    <t>Campus Minisries</t>
  </si>
  <si>
    <t>I feel like I answered that... but in case I was less than clear, KR 1 - 100% of students that posted a concern were responded to. Also, KR 2 was 60% in so far as three of five were recruited. (The 3/5, however, were able to cover all the prayer needs that arose.)</t>
  </si>
  <si>
    <t>brad.kendall@macu.edu</t>
  </si>
  <si>
    <t>Campus Ministries</t>
  </si>
  <si>
    <t>This OKR (1) was assimilated when the Campus Ministries Dept. was expanded/relaunched.</t>
  </si>
  <si>
    <t>The Spiritual Formation Survey confirmed action steps that had already been established.</t>
  </si>
  <si>
    <t>1.A,1.C</t>
  </si>
  <si>
    <t>A software called Notebird has been acquired for the database and training is scheduled.</t>
  </si>
  <si>
    <t>1.A, 1.C, 1.D, 3.C</t>
  </si>
  <si>
    <t>The first Zoom discipleship class has begun, but has not been as impactful as desired (so it cannot be classified as 100%). It is, mostly, been recorded as to be asynchronous.</t>
  </si>
  <si>
    <t>1.A, 1.C</t>
  </si>
  <si>
    <t>I have met with approximately 75% of the Administrative Committee personally and had the opportunity to ask them how I, as the University Chaplain, could be of assistance to them.</t>
  </si>
  <si>
    <t>1.A, 1.D</t>
  </si>
  <si>
    <t xml:space="preserve">The mechanism for prayer and prayer response is in place. The specialized training for responders has yet to take place. Also, the Prevailing (Prayer) Wall is partially constructed and plans for the roll-out are being finalized in conjunction with Amanda Harris. </t>
  </si>
  <si>
    <t>The second Zoom discipleship class is ready to launch at the end of May ('25). It is on the life of Joseph. It will run concurrently with Essentials of the Faith. It is being facilitated by Madison Neal. Not 100% of the classes have been recorded.</t>
  </si>
  <si>
    <t>carol.fowlkes@macu.edu</t>
  </si>
  <si>
    <t>Carol Fowlkes</t>
  </si>
  <si>
    <t>School of Science and Math</t>
  </si>
  <si>
    <t>MATHEMATICS</t>
  </si>
  <si>
    <t>We are still in process of integrating Webassign and MyLabMath into Canvas.  I have contacted curriculum services and have everything from them that I need to integrate the software.  Other professors in the math department worked on new technologies.</t>
  </si>
  <si>
    <t>Attempted to create lab activities for oculus but without training available and financial resources to purchase calcVR app was unsuccessful.  Attempted to use old 3D printer but it failed miserably (wasted a lot of filament and time).</t>
  </si>
  <si>
    <t>Was not able to utilize 3D printer</t>
  </si>
  <si>
    <t>1ST KR1 Courses for our DA program were updated and utilizing current software and technologies
1ST KR2 Students could not find time to utilize the 3D printer in making their models.  Professor was able to utilize 3D printer in making model as an example.
OKR1 KR3 All course descriptions and prerequisites have been completed.  Now they must be approved by faculty</t>
  </si>
  <si>
    <t>rebecca.enright@macu.edu</t>
  </si>
  <si>
    <t xml:space="preserve">CHRISTIE SMITH </t>
  </si>
  <si>
    <t>Curriculum Services</t>
  </si>
  <si>
    <t>2.C, 3.C</t>
  </si>
  <si>
    <t>We successfully implemented and trained faculty on the Canvas LMS for the Fall 2024 courses.</t>
  </si>
  <si>
    <t>CHRISTIE SMITH</t>
  </si>
  <si>
    <t>Implemented a more efficient LMS and updated our SME agreements to be more automated.</t>
  </si>
  <si>
    <t>christopher.canary@macu.edu</t>
  </si>
  <si>
    <t>Christopher Canary</t>
  </si>
  <si>
    <t>Enrollment Management and Operations, Student Affairs</t>
  </si>
  <si>
    <t>Student Services / Enrollment Operations</t>
  </si>
  <si>
    <t>9TH</t>
  </si>
  <si>
    <t xml:space="preserve">Technically we met our goal by 101% since we were able to identify and answer 101 questions often received through the Solution Center and Welcome Desks. </t>
  </si>
  <si>
    <t>Student Services: ESL</t>
  </si>
  <si>
    <t>3.B</t>
  </si>
  <si>
    <t xml:space="preserve">Paul Burkhardt was hired in January 2025 as MACU's first ESL Specialist and we spent the better part of this quarter developing a program overview and purchasing curriculum for his course. This has set us up well as we look ahead for Fall 2025 and as we begin recruiting participants to join in on his weekly courses. </t>
  </si>
  <si>
    <t>Student Services: Support Specialists</t>
  </si>
  <si>
    <t>8TH</t>
  </si>
  <si>
    <t xml:space="preserve">During this quarter, student services has gone through all of our NSO videos and updated the ones that were out of date. We have also included new videos specifically from IT regarding their offerings and the tech systems used around campus. The one major video we have not been able to create fully is the Canvas walkthrough. Our test account does not have the necessary views in the system to show students exactly what it looks like to turn in assignments. </t>
  </si>
  <si>
    <t>Student Services</t>
  </si>
  <si>
    <t>Re-Admissions (Retention/Reentry)</t>
  </si>
  <si>
    <t xml:space="preserve">When we first pulled data from MACU's helpdesk to determine the amount of time it took to close a readmissions ticket, the average time for completion was about 15 days. We then had some key meetings and included important stakeholders in our conversation. The average time of completion went from 15 days (the average from 12/1/2023-5/31/2024) down to 6 days in July 2024. This was an overall reduction of roughly 60% and far surpasses our original goal of 5%. </t>
  </si>
  <si>
    <t>Student Support</t>
  </si>
  <si>
    <t xml:space="preserve">This was a great challenge for our team and highlighted the capabilities of Watermark's Key Engagement features. When we started, the the average caseload OKR percentage was lower than 50% and as of August 5th, we are at an average of 65%, which was the goal. James is at 60% of his 502 caseload, Karrie is at 63% of her 519 caseload, and Nathan is at 72% of his 530 caseload. This does not, however, take into account Adrian Silva's engagement with CAS students. We were unable to work on that portion during the Summer 2024 months but it will factor into our upcoming OKRs. </t>
  </si>
  <si>
    <t>Career Development</t>
  </si>
  <si>
    <t xml:space="preserve">I believe we made great strides towards our objective and, in collaboration with HR, we have great future plans for continuing to improve the student employment hiring process. The main challenge we encountered was attempting to determine a baseline of time that it previously took to complete a student's employment file. There were too many external variables for us to reach any conclusive observations. I will say, however, that we reduced the amount of time that it took to process a file and have designs on a new procedure once the university moves away from Paycor. </t>
  </si>
  <si>
    <t>Support Specialists</t>
  </si>
  <si>
    <t xml:space="preserve">We were able to review all current videos to determine content accuracy and have been able to complete a couple new tech videos; however, the full recording of new scripts and everything won't take place until January 2025 according to David Callahan's schedule. </t>
  </si>
  <si>
    <t>Career Services</t>
  </si>
  <si>
    <t xml:space="preserve">We held two collaborative meetings in preparation for ADP, including one with Human Resources and one with the Business Office regarding payroll and hiring procedures. </t>
  </si>
  <si>
    <t>Retention Specialists</t>
  </si>
  <si>
    <t xml:space="preserve">We've made great progress on collaborating and clarifying and identifying areas of improvement. There are still sticking-points with the new Salesforce instances, but they are much more rare and it's easier now to determine who is retention and who is a new enrollment. </t>
  </si>
  <si>
    <t>Retention Specialist</t>
  </si>
  <si>
    <t xml:space="preserve">With the transition of Amanda Orso to Enrollment Operations and Reentry functions moving over there as well, Melanie Cron and I were able to review and updated the university's retention strategy and process. Upon review, we found a few areas that could be updated, especially when it came to Satisfactory Academic Progress. That part was out of alignment with the university catalog and the new policy states that SAP reviews will only take place if a student is at the end of their Academic Year (AcY). This new process has led to a precipitous drop in SAP appeal requirements and has allowed us to move more quickly in helping students return to classes.  </t>
  </si>
  <si>
    <t>For Key Result 1, we did not complete a full renovation of technology overview videos. This is for two reasons: First, many of the Tech Overview videos on our New Student Orientation video playlist are still accurate and needed no updates. Second, we were unable to make a clarifying video for Canvas due to the limited access of our test account and are still working with Curriculum Design to have the ability to show all necessary steps for students to access their courses, see grading rubrics, and submit assignments. These will be another OKR moving forward. 
For Key Result 2, we nearly finished everything and James Brooks was instrumental in that undertaking. He updated all of our video scripts, collaborated with teams around the university, and was able to coordinate the update of all our videos. The reason I did not give us a 100% on this effort is because we haven't received the videos back from David Callahan just yet. That process takes some time though, so I suspect we will have everything in place by this Summer.</t>
  </si>
  <si>
    <t>Institutional Research and Effectiveness</t>
  </si>
  <si>
    <t xml:space="preserve">IRE and I were able to pull some initial reports, but otherwise made little progress on this Objective or Key Results. We will carry it forward into the Spring, however, since the information and tactics will be greatly needed as we plan to have all-support-specialists serving all-students by June 1, 2025. </t>
  </si>
  <si>
    <t>colby.ingram@macu.edu</t>
  </si>
  <si>
    <t>Colby Ingram</t>
  </si>
  <si>
    <t>Testing in Beta proved to be challenging due to the nature of LTIs tested. More testing is needed to fully understand whether LTI can be used in Blueprint courses.</t>
  </si>
  <si>
    <t>daniel.fisher@macu.edu</t>
  </si>
  <si>
    <t>Dan Fisher</t>
  </si>
  <si>
    <t>University Advancement</t>
  </si>
  <si>
    <t xml:space="preserve">Change in personnel.  </t>
  </si>
  <si>
    <t>This 3-month period is not over yet, so this is a projected score.</t>
  </si>
  <si>
    <t>Key Result 1: This is being done in concert with our Day of Giving project identification, and the 3-month period concludes at the end of February, so this is a projected score.</t>
  </si>
  <si>
    <t>Key Result 1: We are reading one chapter each week, and we will be 60% through the book by the end of February; Key Result 2: By the end of February, we will have completed our Virtuous Academy training.</t>
  </si>
  <si>
    <t>Parental leave; Virtuous Conversion</t>
  </si>
  <si>
    <t>We were not able to generate responses from as many donors as we had hoped.</t>
  </si>
  <si>
    <t>We were glad to be able to create some segments, but we did not have the time to expand beyond three selections.</t>
  </si>
  <si>
    <t>University Advancement, Cabinet Member- Dan Fisher</t>
  </si>
  <si>
    <t>OKR1, KR1: This has begun, but time to focus on this task has been interrupted or hard to find.
OKR1, KR2: Accomplishing this is predicated upon significant work on KR2, so it has been difficult to achieve.
OKR1, KR3: The work of doing our case for support helped in this regard. Yet, we believe we have work to do is fully reaching this goal.</t>
  </si>
  <si>
    <t>OKR2, KR1: We have made some gains in this area through the use of iWave, a software program available through our campaign consultant. It is a preliminary step, and there is much yet to be done.
OKR2, KR2: This might not be as measurable of a key result as we originally thought. This is tied to our portfolio project (OKR1, KR1).</t>
  </si>
  <si>
    <t>OKR3, KR1: We actually have selected the software, but we have not yet signed a contract. We expect this to be done soon.</t>
  </si>
  <si>
    <t xml:space="preserve">This does not include an analysis or training for the outgoing director of development. </t>
  </si>
  <si>
    <t>Fundraising software was selected but will not be implemented until 2025; We have not yet contacted alumni and donors to ask their preferred contact information.</t>
  </si>
  <si>
    <t>We were able to assign major donors and prospects to the president, the VPUA, and the incoming Director of Development for further refinement.</t>
  </si>
  <si>
    <t>Conceptually, we have created a plan for this, but it needs to be fleshed out more fully.</t>
  </si>
  <si>
    <t>david.rose@macu.edu</t>
  </si>
  <si>
    <t>David Rose</t>
  </si>
  <si>
    <t>Product Development</t>
  </si>
  <si>
    <t>OKBON fully approved Stage 1 application</t>
  </si>
  <si>
    <t>OKBON approved on November 13.  HLC to be submitted as soon as official notice received from OKBON.</t>
  </si>
  <si>
    <t xml:space="preserve">RN-BSN program is fully approved but still awaiting Title IV approval.  Marketing campaign is on track to launch March 1 but have not reached that date yet. </t>
  </si>
  <si>
    <t>HLC visit is scheduled for March 31 and April 1 2025.  Federal earmarks are on hold until March 14 and minimal equipment will be purchased until then. The first FT faculty member has accepted offer and is scheduled to start April 1, 2025</t>
  </si>
  <si>
    <t>School of Nursing</t>
  </si>
  <si>
    <t>The marketing campaign was not fully launched by March 15, but the cohort is building, and the first group should launch on time.</t>
  </si>
  <si>
    <t xml:space="preserve">Site visit by the HLC team was extremely successful, and a positive report was submitted without any weaknesses noted. The MACU team was fully prepared for this visit.  HLC, due to its own constraints, was not able to get it on their agenda in the time frame the MACU team was hoping. </t>
  </si>
  <si>
    <t>School of Science and Math, Cabinet Member- Jody Allen</t>
  </si>
  <si>
    <t xml:space="preserve">The prospectus was submitted to Keller Partners with 100  letters of support. </t>
  </si>
  <si>
    <t>brittany.braden@macu.edu</t>
  </si>
  <si>
    <t>DEAN MEADOWS</t>
  </si>
  <si>
    <t>Bursar's Office</t>
  </si>
  <si>
    <t>This quarter, our office faced timing constraints due to being short-staffed while also managing 1098-T processing and Spring billing, which required significant time and attention. Despite these challenges, we successfully completed key tasks, maintained compliance, and are looking to improve processes and cross-training to enhance efficiency moving forward.</t>
  </si>
  <si>
    <t>dean.meadows@macu.edu</t>
  </si>
  <si>
    <t>Dean Meadows</t>
  </si>
  <si>
    <t>Business Office, Bursar's Office</t>
  </si>
  <si>
    <t>The team loves doing this weekly.  The biggest challenge is getting those that are remote workers engaged.</t>
  </si>
  <si>
    <t>Bursar's Office, Business Office, Information Technology</t>
  </si>
  <si>
    <t>Challenges: Christmas break, sickness, weather</t>
  </si>
  <si>
    <t>We completed refining three manual processes.  ADP and FORVIS projects became primary items during the quarter.</t>
  </si>
  <si>
    <t>We were happy that 5 people led at least one of our discussions.</t>
  </si>
  <si>
    <t>KR3: overall improvement was 12% with Communication increasing by 17%.</t>
  </si>
  <si>
    <t>The team loves doing a Bible study every week.</t>
  </si>
  <si>
    <t>KR2: March 31 did not provide enough time to complete this KR.</t>
  </si>
  <si>
    <t>Cabinet Member- Dean Meadows</t>
  </si>
  <si>
    <t>Challenge: too many other things happening during the summer months to connect with IT to help automate manual processes.</t>
  </si>
  <si>
    <t>The Business &amp; Bursar Office staff was very active in the weekly discussions.</t>
  </si>
  <si>
    <t xml:space="preserve">For KR1, no I did not train 75% because the majority did not request a meeting.  I met with 100% of the budget managers that responded to my email and scheduled an appointment through calendly.  </t>
  </si>
  <si>
    <t xml:space="preserve">NO COMMENT - WAS PUT IN BY CB </t>
  </si>
  <si>
    <t>erica.stanton@macu.edu</t>
  </si>
  <si>
    <t>Erica Alvarez-Stanton</t>
  </si>
  <si>
    <t>Admissions</t>
  </si>
  <si>
    <t>We have contacted 100% of our new applicants within 24 hours. 
On the CAS admissions training manual, this project is ongoing and ever evolving.  However, I feel very confident that we have compiled valuable to allow new hires to successfully understand the AC role.</t>
  </si>
  <si>
    <t xml:space="preserve">The Admissions Team has quickly shifted gears from 2024 enrollment to 2025 recruitment.  I am extremely proud of their work in closing out a successful recruiting season and kicking off a new season by completing 57 of 72 visits with counselors and they still have 7 days left to finish the visits. The Tulsa area will be covered next week during heavy travel for Tulsa area recruitment days. </t>
  </si>
  <si>
    <t xml:space="preserve">Currently, we don't have access to the new salesforce.  This was deactivated on November 8th.  The scoring is an approximation.  This new salesforce portal will truly transform the student experience.  I am excited to work applicants through this new platform. </t>
  </si>
  <si>
    <t>CAGS, OPS and Student Life</t>
  </si>
  <si>
    <t xml:space="preserve">The Salesforce transition was a big project, and we are still working to review and sorting through data, but we knew this would be a working progress. I am proud of the admissions team and grateful for their progress in cleaning up data. Jen and the Ops team has been very accommodating as we navigate the shift.  </t>
  </si>
  <si>
    <t>1st</t>
  </si>
  <si>
    <t xml:space="preserve">We are still working on going away from relying on Google sheets for tracking and reporting.  Admissions has  made huge strides but we have more work to do. </t>
  </si>
  <si>
    <t>glenne.whisenhunt@macu.edu</t>
  </si>
  <si>
    <t>ESTHER REHBEIN</t>
  </si>
  <si>
    <t>SCHOOL OF TEACHER Education</t>
  </si>
  <si>
    <t xml:space="preserve">We have experienced a change in school leadership.  Through that transition, we began looking at processes and procedures.  In that examination, we realized there are many things to effectively communicate internally and externally.  
We have met with the Registrar's Office on at least three occasions as we work to organize our course sequencing across all of our programs, on ground and online. We are scheduling monthly planning discussions across divisions to identify opportunities for clarity as well as our successes.
We have a new online field experience coordinator that is working to place our online elementary and early childhood education majors in the appropriate field experience.  We have made significant progress but we have not accomplished the goal yet.  </t>
  </si>
  <si>
    <t>esther.rehbein@macu.edu</t>
  </si>
  <si>
    <t>Esther Rehbein</t>
  </si>
  <si>
    <t>School of Teacher Education</t>
  </si>
  <si>
    <t xml:space="preserve">Biology </t>
  </si>
  <si>
    <t xml:space="preserve">Canvas is integrated into all CAS courses. Training was and continues to be provided. 
In addition, curriculum specialists have been a great help in answering questions and are still available if needed.  </t>
  </si>
  <si>
    <t>garret.castleberry@macu.edu</t>
  </si>
  <si>
    <t>Garret Castleberry</t>
  </si>
  <si>
    <t>School of Humanities and Social Sciences</t>
  </si>
  <si>
    <t xml:space="preserve">Following the transition from the Adult School of Arts and Sciences to the School of Humanities and Social Sciences (SHSS), the SHSS team initiated a new phase of integration between full-time faculty with part-time faculty. Approximately 25% of the Criminal Justice adjuncts joined a designated SHSS meeting. The meeting included priority on communal exchange, social team building, and expressions of gratitude for long-term teaching serving to the University. Curriculum Services was invited (and joined) to provide additional space for information exchange and adjunct Q&amp;A. We will continue with a goal of approximately 25% participation from each school in each quarter moving forward.  </t>
  </si>
  <si>
    <t>The SHSS will initiate the process of holding a quarterly rotation in which each program housed within the School of Humanities and Social Sciences (formerly ASAS) will produce a synchronized “Spotlight Meeting” that allows orientations and engagement with a designated program.</t>
  </si>
  <si>
    <t>100% (of Q2 Goal; overall 3RD is a long-range slow-burn initiative; aka, this OKR is not fully complete/ongoing)</t>
  </si>
  <si>
    <t>2.C,2.D,3.C</t>
  </si>
  <si>
    <t xml:space="preserve">The process is complete for the COMM Student Worker. However, the SHSS student worker has not completed their application upon the initial hiring. TBD if they will continue in the system in Q3, or if the process will need to restart for 50% OKR. </t>
  </si>
  <si>
    <t>SHSS Meetings have allocated time to initiate the dialogue necessary to begin the process of collaboration to determine an effective direction for updating instructor evaluation rubrics, data collection, and submission processes in the new Canvas LMS.</t>
  </si>
  <si>
    <t xml:space="preserve">15% represents incremental progress through identifying 3 courses eligible to upgrade as of Fall 2024 and Spring 2025. Course redesigns seek to implement the use of emerging technology in U.S. History 1, U.S. History 2, and World History 2. </t>
  </si>
  <si>
    <t>2.C, 2.D, 3.C</t>
  </si>
  <si>
    <t>The training process is completed for x2 new student workers in CAGS for the 2024-25 year. One student has resigned from their duties prior to the semester break.</t>
  </si>
  <si>
    <t xml:space="preserve">Upon completion of the transition to Canvas, begin the process of collaboration to determine an effective direction for updating instructor evaluation rubrics, data collection, and submission processes.
</t>
  </si>
  <si>
    <t xml:space="preserve">Identify Gen Ed or SHSS Program course as an appropriate candidate for immediate experimentation and/or integration of emerging technologies into at least one assignment for spring 2025. </t>
  </si>
  <si>
    <t>1.A, 2.C, 2.D, 3.C</t>
  </si>
  <si>
    <t>We completed the hire of a new on ground adjunct in COMM. We also initiated the process of several hires in the Gen Eds program in CAGS. The Chair also served with the CAGS Dean on multiple virtual interviews in collaboration with the (future) School of Nursing Program Director.</t>
  </si>
  <si>
    <t>The SHSS meeting designated for quarterly orientation of Part-Time Faculty was moved due to timing conflicts and inclement weather. It is being rescheduled for the week of 2/24/25, and the completion of this meeting will meet the quarterly goal at 100% (partial completion).</t>
  </si>
  <si>
    <t xml:space="preserve">Progress continues to be made toward the research, identification, experimentation, and implementation of new and emerging technologies in the classroom. The SHSS Program Directors are planning to attend the OKLIS conference in Q4 to learn from and network with other universities that are similarly implementing new techniques and technologies. The COMM Program Director is working on a Digital Media Literacy interview series that will coincide with the academic podcast that integrates with strategic curriculum. The CJ director continues to scout for innovative uses of VR/AR and other ways that curriculum and student experience can be heightened. </t>
  </si>
  <si>
    <t xml:space="preserve">During the Q3 we held the first round of 2024 Faculty Performance Reviews. These initial meetings are between Program Directors and Chairs. In one meeting, the Criminal Justice program director expressed desire to start over the process of building assessment rubrics within Canvas curriculum. This is a slow process that also requires the availability of and cooperation with Curriculum Services to complete. CJ has the fewest number of courses to complete, so we will begin with them and rotate between programs thereafter. </t>
  </si>
  <si>
    <t xml:space="preserve">Canvas continues to exhibit numerous issues and complications from the 2024 D2L-to-Canvas platform migration process. </t>
  </si>
  <si>
    <t xml:space="preserve">The SHSS Gen. Eds. extend their mission toward continuous improvement in the area of identifying courses where innovative technology, digital tools, and techniques  (ex, AI software) can be ethically introduced in the development of curriculum and/or student assignments. </t>
  </si>
  <si>
    <t xml:space="preserve">The quarterly "spotlight session" was substituted for the Faculty Gathering. In this way, program directors were able to personally interact with and engage with not only their visiting Part-Time faculty but also a range of faculty outside of the SHSS adjunct pools. This particular result provides a valuable capstone to the Quarterly Meeting process and will be approached as such in subsequent years. </t>
  </si>
  <si>
    <t>Glenne' Whisenhunt</t>
  </si>
  <si>
    <t xml:space="preserve">Through collaborations with the Registrar's office, we have been able to obtain a list of all students that have declared IDS as a major with education as a major area of study, discipline option, or concentration.  We have made initial email contact with all students and follow up conversations are occurring about whether Educational Studies is a degree that may be a path more suitable for them to reach their career goals.  </t>
  </si>
  <si>
    <t xml:space="preserve">School of Teacher Education </t>
  </si>
  <si>
    <t>Our first OKR was to evaluate existing students' enrollments and place those students in a cohort.  After evaluation of student schedules and conversations, it was realized that the students' schedules were structured in a way that would not allow for a common path to be created.  This was deemed an action that was not going to be best for students so we have elected to not pursue this path of action. 
The second OKR has been completed, courses have been created, classes ordered, and built within Jenzabar.  Students will be enrolled in these cohorts beginning March 2025. This change will allow our students to have a clear path to graduation and for the School of Teacher Education to have a more efficient strategy of assigning faculty to maximize class sizes and faculty member's expertise.</t>
  </si>
  <si>
    <t>We had a "peeling an onion" experience when we began working on these courses.  As we began to really examine course outcomes and dissect the current content, we realized this was a truly gargantuan task!  We decided to step back and rework the lesson plan, which is really the final exam for these two courses.  We have greatly modified the lesson plan and the rubric that is used to score the student's work.  We also have recreated the unit plan and the associated rubric in the second course.  While, we did not achieve our related OKRs, we were able to make substantive progress toward achieving them.  I'm hopeful we will be able to meet this OKR in time to implement the two new courses in the fall 2025 semester.</t>
  </si>
  <si>
    <t xml:space="preserve">We have finalized and established the school of teacher education cohort "trains" in the Registrar's office for our online students.  This will allow us to demystify the course progression of our students during their time with us in teacher education.  We have had some adjustments to course sequences as we have worked over the quarter to make sure pre-requisites were honored as well as managing the hours being required in field experience for the student per semester.   We are pleased as we celebrate this accomplishment but will continue to monitor and adjust as needed to best meet the needs of our students. </t>
  </si>
  <si>
    <t>grace.gandy@macu.edu</t>
  </si>
  <si>
    <t>Grace Gandy</t>
  </si>
  <si>
    <t xml:space="preserve">Key Result 1:
We developed a comprehensive and structured RA evaluation system that includes clearly defined goals, a consistent evaluation process, and a ranking system. This system is finalized and ready for implementation in Fall 2025.
Key Result 2:
We successfully conducted one-on-one meetings with nearly half of our RA staff (both male and female) during this quarter. While it was challenging to find focused time with every student toward the end of the year, we plan to continue strengthening this effort by incorporating more intentional training and scheduling practices during Fall 2025 training.
</t>
  </si>
  <si>
    <t>hannah.moeller@macu.edu</t>
  </si>
  <si>
    <t>Hannah Moeller</t>
  </si>
  <si>
    <t>Athletics</t>
  </si>
  <si>
    <t>Women's Basketball</t>
  </si>
  <si>
    <t>We had David Sidebottom meet with the team over the span of 4 weeks to talk about hope and how to increase it. He presented different challenges and obstacles to the team and how to find hope in those moments of difficulties. The team took an assessment at the beginning and another one at the end of the 4 weeks that measured their hope and if it increased over the weeks. This training LAB presented the opportunity to learn how hope truly does have an impact on one's life and taught the team tangible ways to find hope in the moments of life when there seems to be none.</t>
  </si>
  <si>
    <t xml:space="preserve">Hannah Moeller </t>
  </si>
  <si>
    <t xml:space="preserve">Women's Basketball </t>
  </si>
  <si>
    <t>1.A, 1.C, 1.D, 2.D</t>
  </si>
  <si>
    <t xml:space="preserve">We were able to execute all of our planning phase of Q1 OKRS with the exception on 1 piece.  We have not executed the lab, thus being the 90 not 100.  We were hopeful to be able to do our first lab in this quarter but it will fall in the second quarter.  </t>
  </si>
  <si>
    <t>harold.kihega@macu.edu</t>
  </si>
  <si>
    <t>Harold Kihega</t>
  </si>
  <si>
    <t>Biology</t>
  </si>
  <si>
    <t>NSF- AI programs Professional development was offered to all biology faculty and staff</t>
  </si>
  <si>
    <t>BIOLOGY</t>
  </si>
  <si>
    <t>Canvas was difficult to navigate over the summer, especially in the areas of exams. Uploading exams from D2L did not work, and no one knew how to upload text banks and assign random draws from specific chapters.</t>
  </si>
  <si>
    <t>Biology/Chemistry</t>
  </si>
  <si>
    <t xml:space="preserve">A challenge for 1ST was finding time that everyone is available for training. As a faculty member our priority is teaching, grading, updating curriculum, secondarily - writing recommendation letters, maintaining current partnerships, meeting with students (tutoring), faculty meetings, inventorying supplies, ordering supplies, meeting with students for make-up labs, exams, and assignments. A second challenge is having an entire class gather around the table, there is not enough room. Also, there must be supervision for students to work independently, and we have not been able to work out a schedule as of 11/11/24. Accomplishment - We have reviewed course content for the Anatomage table, and participated in the initial training. </t>
  </si>
  <si>
    <t xml:space="preserve">This is the explanation for both OKRs 1 and 3 for School of Science and Math: 90% was the recorded result for 1ST to increase 50% operation proficiency of the Anatomage table in the Biology Program curriculum. While the majority of courses are taught by full-time faculty, adjuncts did not participate at this time. 70% for 3RD is the proper assessment as most of the materials in the innovation lab was concentrated on the Anatomage table and iPads in- silico labs. </t>
  </si>
  <si>
    <t>Faculty met with Pearson Representatives to investigate new technology provided by the publishing company in the areas of Biology and Chemistry. 3 of the 4 faculty have committed to utilizing Pearson in the classroom, 1 faculty is using McGraw-Hill.</t>
  </si>
  <si>
    <t>heather.barrett@macu.edu</t>
  </si>
  <si>
    <t>We are actively working with the Business Office on a strategy to find the best technology to complete this OKR. We are exploring different ways to integrate programs we currently use on campus for a smooth implementation.</t>
  </si>
  <si>
    <t>ASHLey Gotcher</t>
  </si>
  <si>
    <t>We have applied to be a UPS Dropoff location and received notice that at this time, UPS is not in need of a location in our area. If matters change, we are on their waiting list and they will reach out when necessary. We are currently in the application process to become an Amazon drop off/return location.</t>
  </si>
  <si>
    <t>jarrod.bowman@macu.edu</t>
  </si>
  <si>
    <t>Jarrod Bowman</t>
  </si>
  <si>
    <t>Enrollment Management and Operations</t>
  </si>
  <si>
    <t>Enrollment</t>
  </si>
  <si>
    <t>We did a good job of community engagement and marketing efforts outside of the university. We fell only a single event short of our ultimate goal. The process of implementing "The Ask" as a scheduled aspect of the enrollment process is something that is developed for 'new' enrollment counselors (including templated emails and SMS messaging efforts), but referrals are best served as a flexible element for experienced counselors.</t>
  </si>
  <si>
    <t>1.A, 1.C, 1.D</t>
  </si>
  <si>
    <t>Our goals are in progress and moving toward a strong completion by the end of February.</t>
  </si>
  <si>
    <t>We did not get to enough events to generate leads in the hoped for numbers, but we were able to gather data on which events are successful and which are poor for lead generation.</t>
  </si>
  <si>
    <t>jasmin.jackson@macu.edu</t>
  </si>
  <si>
    <t>Jasmin Roberti</t>
  </si>
  <si>
    <t xml:space="preserve">Conducted research on implementation of AI APA add on for Success at MACU course. Need to verify that AI policy is being included in the possible implementation. </t>
  </si>
  <si>
    <t>jennifer.randall@macu.edu</t>
  </si>
  <si>
    <t>Jennifer Randall</t>
  </si>
  <si>
    <t>Bursar, Registrar, Financial Aid, CAS Admissions</t>
  </si>
  <si>
    <t>2.C, 3.A, 2.B</t>
  </si>
  <si>
    <t>1ST - Process of communication protocols were started, but did not get completed due to the heavy enrollment season and vacancies in staff in collaborating departments.
2ND - FAFSA events due to the FAFSA grant provided for more events than planned for; Canvas launch made "walk-to-class" meetings seamless, there were ample opportunities for student events.
3RD - The launch of Greetly at our Welcome Centers was successful though there are pending issues to be resolved.</t>
  </si>
  <si>
    <t>jessica.russell@macu.edu</t>
  </si>
  <si>
    <t>Jessica Russell</t>
  </si>
  <si>
    <t>Human Resources</t>
  </si>
  <si>
    <t>We were able to evaluate 4 HR/Payroll vendors (ADP, Paylocity, Paycom, and UKG) and our proposal was approved to move forward with ADP.</t>
  </si>
  <si>
    <t>1.B</t>
  </si>
  <si>
    <t>We were successful in teaming up with our Benefits vendors and the Office of Strategic Planning to kick-off our wellness program on September 11th at our first Lunch and Learn.</t>
  </si>
  <si>
    <t>Accomplishments: Our score has changed from 85% to 100%. 
Challenge: Procrastination of a few employees lead to the HR team working late on our deadline day to ensure proper enrollment of all benefit eligible employees.</t>
  </si>
  <si>
    <t>Accomplishments: We hosted our first Wellness Lunch and Learn with Total Wellness to help educate our staff on resources available to them through their healthcare provider. In addition, we reviewed the Blue Access app and successfully registered staff members for free on-site shots and screenings. 
Challenges: We switched benefit brokers during the quarter. This led to the loss of a monetary employee incentive and the need to create a new wellness plan with our new broker.</t>
  </si>
  <si>
    <t>Strategic initiatives</t>
  </si>
  <si>
    <t>Accomplishments: We were able to meet with 98% of our supervisors to provide one-on-one training and development.
Challenges: Scheduling meetings with a few supervisors has been challenging. However, it did not keep us from meeting our goal of 33%.</t>
  </si>
  <si>
    <t>Accomplishments: We were successful in automating benefit enrollments and established file feeds between ADP and our benefit vendors. This tremendously reduced manual data entry and reduced our processing time by 50%.
Challenges: Do to a codding error, we were delayed in finalizing our file feed for retirement. We have one more test run before we will be able to go live. In addition, we were delayed in obtaining our enhanced workflows and we are currently working to build templates for onboarding and offboarding. We look to have both retirement and enhanced workflows live by the end of next quarter.</t>
  </si>
  <si>
    <t xml:space="preserve">Accomplishments: We were successful in recruiting members for our wellness committee. They represent various departments and all 5 GiANT voices.
Challenges: With changes to our benefit vendors, we were met with challenges regarding disbursement of benefit cards. However, this led to the increase in employees downloading and utilizing the Blue Access and EyeMed app. Our next objective is to be able to develop a report with our new vendors to track enrollments. </t>
  </si>
  <si>
    <t>Accomplishments: We were able to provide supervisors guidance on disciplinary issues as well as complete the Telework Suitability Assessment for their teams. 
Challenges: Due to the need to complete compliance reporting, we did not meet as frequent as previously desired. We look to get back on track next quarter.</t>
  </si>
  <si>
    <t xml:space="preserve">Due to the time of the year it was difficult to allocate time to accomplish our goal of two training sessions for faculty and staff. However, we were able to collaborate with the Director of Graduate and Career Development to provide training to our students and we were able to be a part of the planning committee for our Annual Employee Gathering. </t>
  </si>
  <si>
    <t>We encounter some challenges with setting up our retirement file feed due to our account being reassigned to a new team member. However, through cooperative collaboration, we were successful in establishing 100% accuracy in ADP file feeds to TIAA.</t>
  </si>
  <si>
    <t>We were able to successfully meet with our wellness committee twice this quarter and we were able to develop a mission statement as well as goals and initiatives for the upcoming year.</t>
  </si>
  <si>
    <t>jessica.thompson@macu.edu</t>
  </si>
  <si>
    <t>Jessica Thompson</t>
  </si>
  <si>
    <t>2.B, 2.C</t>
  </si>
  <si>
    <t xml:space="preserve">All sub-units in Student Affairs have created standard operating procedures for their position. We have also begin integrating Watermark usage in our various roles.  </t>
  </si>
  <si>
    <t>jody.allen@macu.edu</t>
  </si>
  <si>
    <t>Jody Allen</t>
  </si>
  <si>
    <t>Facilities Grounds and Transportation</t>
  </si>
  <si>
    <t>2.A, 3.C</t>
  </si>
  <si>
    <t>They were not able to address due to summer projects. Will carry over for Q2</t>
  </si>
  <si>
    <t>Work has begun clearing out the course, but there is more to do. We have received pricing to redo the disc golf pads and have a potential donor who may pay for these.</t>
  </si>
  <si>
    <t>Facilities, Grounds, and Transportation</t>
  </si>
  <si>
    <t>Waiting for Scotti McDowell to come to town.</t>
  </si>
  <si>
    <t>With Paige arriving, she is auditing all thermostats for web-enabled functionality.</t>
  </si>
  <si>
    <t>Facilities Grounds and Transportation, Information Technology</t>
  </si>
  <si>
    <t>Jody Allen Divisional</t>
  </si>
  <si>
    <t>It is coming along. Just taking a little time.</t>
  </si>
  <si>
    <t>The infrastructure is installed. All new AC thermostats are web-enabled. We have four sprinkler systems ready to be online.</t>
  </si>
  <si>
    <t>Information Technology</t>
  </si>
  <si>
    <t>o        Request was made to ALL department directors, but only received feedback and scheduling from a handful of directors.</t>
  </si>
  <si>
    <t>It has been a challenge to get people to meet with us, but we have met with many people.</t>
  </si>
  <si>
    <t>We exceeded this goal and have worked through many manual processes. New processes have arisen such as Dean had an idea for one just this week.</t>
  </si>
  <si>
    <t>justin.key@macu.edu</t>
  </si>
  <si>
    <t>Justin Key</t>
  </si>
  <si>
    <t>School of Ministry</t>
  </si>
  <si>
    <t>1.A, 1.C, 3.B</t>
  </si>
  <si>
    <t xml:space="preserve">We have completed an alignment of Leadership Focus to Candidacy. We have aligned LF commitment papers to the relevant courses. We have articulated Candidacy/Leadership in Syllabi for all ministry courses. The last steps we need to take are updating the application packet, which will be completed this week. We will then present at the first Student Ministerial meeting in September. </t>
  </si>
  <si>
    <t xml:space="preserve">We completed relevant training for Canvas integration for our Fall courses, as well as worked with adjunct to be sure they received help and training. </t>
  </si>
  <si>
    <t xml:space="preserve">We are still working through the application to submit a draft of it. This OKR will carry over to the next quarter along with the creation of an 2ND. </t>
  </si>
  <si>
    <t>Ministry Leadership, Christian Ministries, Master of Ministry</t>
  </si>
  <si>
    <t xml:space="preserve">We were able to complete Key Result 1 through research into the size/shape/nature of an advisory board. We will carry over Key Results 2 and 3 to the next quarter. </t>
  </si>
  <si>
    <t xml:space="preserve">We completed the description of the School of Ministry advisory board for the purpose of ATS accreditation. We identified a few key individuals that we would invite to be part of it, but need to identity several others. Given the numerous amount of initiatives the SOM was involved with in the second half of the semester, the ATS application will be carried over and completed during the summer. </t>
  </si>
  <si>
    <t>kenneth.schell@macu.edu</t>
  </si>
  <si>
    <t>Kenneth Schell</t>
  </si>
  <si>
    <t xml:space="preserve">100% full integration from D2L to Canvas as all on-ground and online courses for CAS Fall 2024 are running on Canvas.  </t>
  </si>
  <si>
    <t xml:space="preserve">On the CAS side, HIST 2103 I and II have been selected to experiment with emerging technology for Fall 2024. The course project will encourage students to utilize emerging technology like AI visual creation software in completing their course project labeled  Relevance in History. HIST 2103 W1 and HIST 1203 W1 have been submitted to Curriculum Services to be revised. HSIT 2103 W1 (revised) and HIST 1203 (converted) in part to include emerging technology during the course.  </t>
  </si>
  <si>
    <t>kevin.dugay@macu.edu</t>
  </si>
  <si>
    <t>Kevin Dugay</t>
  </si>
  <si>
    <t xml:space="preserve">We have so many elements in place and ready for the relaunch of the podcast such as the music, topics planned for each day, branding, recording dates and times. Our challenge was finding a time for the rest of the team to record in line with the availability of the recording studio. </t>
  </si>
  <si>
    <t xml:space="preserve">The success of my objective was contingent upon others. Sharing devotionals with the athletics teams was only possible if coaches were willing to allow me to have time with their teams. </t>
  </si>
  <si>
    <t>Accomplishment: the goal was to increase student small group participation by 50% - we have just hit 70% yesterday</t>
  </si>
  <si>
    <t>kimberly.thomas@macu.edu</t>
  </si>
  <si>
    <t>Kimberly Thomas</t>
  </si>
  <si>
    <t>School of Behavioral Science and Counseling</t>
  </si>
  <si>
    <t xml:space="preserve">We downloaded the 6 forms from Tevera and recognized the forms were copyrighted and could not be changed, therefore, we were at a standstill as far as what our next step would be.  However, in the Fall 2024, we decided that our program would switch to Watermark as our student database depository making it unnecessary to modify the current forms in Tevera.  </t>
  </si>
  <si>
    <t xml:space="preserve">Due to major projects and changes in personnel, this particular OKR has not been full attention.  However, as of January 2025, we have revised a plan on how a review of our Programs' courses will be managed.  </t>
  </si>
  <si>
    <t xml:space="preserve">As of November 1, we finalized the draft of the Handbook rewrite.  It is now in final editing and will be ready for distribution before or by December 1, 2024.  </t>
  </si>
  <si>
    <t>Sharon Lease; Psychology and Counseling</t>
  </si>
  <si>
    <t>1.A, 2.C</t>
  </si>
  <si>
    <t>Requests for 7 course revisions have been submitted (3 Counseling courses and 4 Psychology courses)</t>
  </si>
  <si>
    <t>1.A, 2.C, 2.D</t>
  </si>
  <si>
    <t>An appraisal of the interim Program Director was completed in February 2025, and the person was appointed to serve in the role as the full Program Director.</t>
  </si>
  <si>
    <t>75 - POSW</t>
  </si>
  <si>
    <t xml:space="preserve">Due to the need to fill a vacant instructor position, our SBSC team spent weeks interviewing candidates and deliberating on candidates, therefore, we missed the April 30, 2025 deadline to complete the review of the Practicum and Supervision courses. </t>
  </si>
  <si>
    <t>makailee.george@macu.edu</t>
  </si>
  <si>
    <t>MaKailee George</t>
  </si>
  <si>
    <t>5th</t>
  </si>
  <si>
    <t>This past quarter went by quickly. I made some progress researching the types of tangible information that would be most valuable for students to access through Watermark. A key highlight was successfully completing Career Development’s first Professional Development Week, which engaged both traditional and non-traditional students each day. I'm excited to build on this momentum and look forward to planning and executing another week in the fall.</t>
  </si>
  <si>
    <t>marcus.moeller@macu.edu</t>
  </si>
  <si>
    <t>Marcus Moeller</t>
  </si>
  <si>
    <t xml:space="preserve">E-Sports </t>
  </si>
  <si>
    <t>Secured a corporate sponsorship with Tinker FCU and have grown the game partnership in the game Valorant.  Very pleased with first quarter!</t>
  </si>
  <si>
    <t xml:space="preserve">ESports, Cross Country, Volleyball, Baseball, Softball, WBBall, MBBall, WSoccer, MSoccer, </t>
  </si>
  <si>
    <t>We have been a bit slow to assign these baselines to new players (especially those we've only been in person with for a couple days).  We are getting close!</t>
  </si>
  <si>
    <t xml:space="preserve">Coaches and staff did nice job with this - I think we have some student athletes who were unprepared to even know how to answer some of what we asked and how we approached it but worked through it without too many issues! </t>
  </si>
  <si>
    <t>ESports</t>
  </si>
  <si>
    <t>3rd</t>
  </si>
  <si>
    <r>
      <rPr/>
      <t xml:space="preserve">No submission was given for this OKR so we left it as 0% - </t>
    </r>
    <r>
      <rPr>
        <color rgb="FF1155CC"/>
      </rPr>
      <t>Here is the submission</t>
    </r>
    <r>
      <rPr/>
      <t xml:space="preserve"> // CB</t>
    </r>
  </si>
  <si>
    <t xml:space="preserve">The ebbs and flows of a college athletics schedule can make this difficult, but we saw some great gains and the Lord is doing incredible things within the lives of our student-athletes. </t>
  </si>
  <si>
    <t>3.A, 3.B, 3.C</t>
  </si>
  <si>
    <t>We are still rolling out the marketing plan but a large portion is complete. Thanking our sponsoring is halfway complete but will be done by end of June!</t>
  </si>
  <si>
    <t>The "end of the year" got away from us especially in the Spring sports but we were able to complete a portion of these!</t>
  </si>
  <si>
    <t>Esports</t>
  </si>
  <si>
    <t>3.A, 3.B, 3.D</t>
  </si>
  <si>
    <t xml:space="preserve">Excited about the potential opportunity to add MarveL Rivals for the coming year </t>
  </si>
  <si>
    <t>mark.pickens@macu.edu</t>
  </si>
  <si>
    <t>Mark Pickens</t>
  </si>
  <si>
    <t>School of English</t>
  </si>
  <si>
    <t>To be clear, this is for O:1 KR: 1B.  The fields above numbers Key Results rather than listing them by letter as recorded in the document "The Place to Be."  It also requires me to enter on all 4 KRs.
Beccah Bland: I read Jane Austen's Persuasion. As far as personal enrichment, Austen's works have always been key to my love of literature, and I turn to them many times throughout the year. I will also be able to use this novel in the classroom this semester in Women's Literature. 
Mark Pickens: I read Rick Rubin's The Creative Act.  The book explores attitudes about and strategies for the creative process. Numerous passages will inform how I teach the Creative Writing course this spring.  Some will be used to provoke discussion and/or writing assignments.
Mark Harris: My reading selection was Literature: 101 Exercises for the College Classroom.  In addition to being of personal interest, the text is also of professional interest as its title implies.  I have selected some ideas from those included to implement in upcoming courses beginning Fall Semester 2024.</t>
  </si>
  <si>
    <t>KR3 was intended for the next quarter, as it's dependent on completion of KR1 and KR2, both of which are on track</t>
  </si>
  <si>
    <t>Pilot program was successfully completed and adopted for all on-ground sections taught by full time faculty.  5 week online sections have also implemented the updated mutlti-modal assignment.  The reasons for only 50% completion of KR2 are the timing of curriculum changes in the 8 week online format along with the need to train adjunct faculty on the new updates.</t>
  </si>
  <si>
    <t>3 on ground sections were offered; implementation occurred in 1; however FYC Director has a plan for full implementation in all sections (including adjunct) next semester</t>
  </si>
  <si>
    <t>Full-time faculty independently conducted research in print and digital formats (including large language model AI tools)  on implemting Artificial Intelligence to improve pedagogical strategies and curriculum.  Additionally, both formal and informal sharing and collaboration based on this research has been and continues to be ongoing.</t>
  </si>
  <si>
    <t>marsha.kendrick@macu.edu</t>
  </si>
  <si>
    <t>Marsha Kendrick</t>
  </si>
  <si>
    <t>Learning Resource Center</t>
  </si>
  <si>
    <t>Accommodations and Testing</t>
  </si>
  <si>
    <t xml:space="preserve">The challenge was having up-to-date information. For example, one student was listed as being under suspension, but they were actually allowed to take a summer class. There was a slight delay due to catching up with this information and sending the notification. In another case, the student changed their classes and the delay was due to confirmation of this. </t>
  </si>
  <si>
    <t>Learning Assistance Programs</t>
  </si>
  <si>
    <t xml:space="preserve">This new co-curricular program is an adaptation of an existing portion of AAA. The challenge was in reimagining this for all students, with drop-in hours available. </t>
  </si>
  <si>
    <t>University Library</t>
  </si>
  <si>
    <t xml:space="preserve">NOTE: This is 5TH for our SPU. The weeding is complete, and the relocation of most collections is complete. The remaining challenge is to finish relocating the fiction section, which has been delayed due to water damaage and necessary repairs. </t>
  </si>
  <si>
    <t>Construction was delayed and is two weeks past the expected due date. Electrical work, door installation, and move-in still remain. The renovation timeline was delayed and is two weeks past the expected due date. The remaining results for this OKR should be completed within one week.</t>
  </si>
  <si>
    <t>The primary challenge for this key result was to narrow all of the things we track, and could track, to choose a few key indicators of our department's health.</t>
  </si>
  <si>
    <t>The Compliance Report was completed through a self-evaluation and submitted to the Compliance Committee, as well as the President's Cabinet.</t>
  </si>
  <si>
    <t xml:space="preserve">AI Research Guide was created, updated based on collaboration with the AI Advisory Committee, and published. </t>
  </si>
  <si>
    <t>Accomplishments included collaborating with faculty and human resources in updating job descriptions. Challenges included determining which classes a tutor needs to have completed to be a strong candidate, as pathways are increasingly individualized.</t>
  </si>
  <si>
    <t>michael.foote@macu.edu</t>
  </si>
  <si>
    <t>Michael Foote</t>
  </si>
  <si>
    <t>Financial Aid</t>
  </si>
  <si>
    <t>2.B,2.C</t>
  </si>
  <si>
    <t xml:space="preserve">We didn't get as many automated through PowerFaids as we would have liked, but did make several key updates and evaluation of processes outside of PowerFaids as well. Within PowerFaids, as a result of the automation, packaging (one step in the processing of aid) increased from six an hour to ten an hour, approximately a 60% increase in efficiency. </t>
  </si>
  <si>
    <t xml:space="preserve">One challenge was how to count a completion, because some trainings were longer than others. However, it was agreed that a training would take the average person approximately an hour. </t>
  </si>
  <si>
    <t xml:space="preserve">We set an ambitious goal to review our processes, and to review and evaluate at least 3 key processes. I didn't account sufficiently for the leaving of a team member to another department, and Tammy's impending departure. We also have a lot of newer members, and so it more became about learning and doing processes to keep up with the daily and weekly requirements versus reviewing and improving processes. With that in mind, we did intentionally discuss looking at processes as we were all learning for improvement opportunities. Some examples of the changes made include: updates to the SAP appeal process, both in terms of the student experience (all appeals in one place on the portal), and to the staff experience in terms of tracking and reporting, updating our processes with the implementation of the new Salesforce software, which led to increased efficiency through the use of some of the reporting tools, and removing a few duplicate steps from the process of clearing a new incoming student for financial aid. </t>
  </si>
  <si>
    <t>MIchael Foote</t>
  </si>
  <si>
    <t xml:space="preserve">During the quarter, most of the team was able to learn something new about a process they didn't work with every day and how their processes tied into the larger FA process. The remote employees were not able to join, but the rest of the team went to lunch and an escape room together to build team cohesion. </t>
  </si>
  <si>
    <t>michelle.strain@macu.edu</t>
  </si>
  <si>
    <t>Michelle Strain</t>
  </si>
  <si>
    <t>Scraper Counseling Center</t>
  </si>
  <si>
    <t>I was able to hire 7 interns this quarter and provided training for each of them. We were fortunate to have a great pool of intern candidates to choose from. I was also able to Create my strategic plan for the year and it was approved by Dr. Bobbie Spurgeon-Harris. I also created an expansion proposal, held several intern trainings, and spoke to all new students during orientation.</t>
  </si>
  <si>
    <t xml:space="preserve">It was a challenge to build in the time it took to meet with each member of the administrative team, but I did it! I also struggled to contact a few members of the team, but I persisted and we accomplished the goal efficiently and sometimes creatively. This key result has probably helped me more than anything I've done here at MACU. It was so terrific to get to know each person and find a connection with each of them. It was also great to hear about the work they are doing at MACU. Even though it was a challenge, I would do it again 100 times over. I would suggest doing this to any new administration team member.
</t>
  </si>
  <si>
    <t>We completed Mental Health Awareness Week and it was very successful. We are in the hiring stages now of the part-time counselor and should have an offer made by Nov. 15.</t>
  </si>
  <si>
    <t>We have met with Institutional Research &amp; Effectiveness to create a few surveys, and we are reviewing them before putting them to use. Every intern meets with the Director of Counseling who provides a live tape of a session to review once per month, and the Director provides feedback to the intern.</t>
  </si>
  <si>
    <t>Scraper counseling Center</t>
  </si>
  <si>
    <t>We were delayed in receiving the Merrick Foundation Grant which caused us to delay hiring a counselor and a biller. We are down to final interviews for the counselor position. We have identified that we are going to hire a biller and have one we want to hire, but we have pushed back the date to hire until after the new counselor is on board.</t>
  </si>
  <si>
    <t>We have completed our end of the process for using an assessment tool and are waiting on another department to complete their process in creating the assessment tool. On our end, we have done all we can do.</t>
  </si>
  <si>
    <t>We were able to successfully complete our 1ST</t>
  </si>
  <si>
    <t>We had a solid start on KR 1, but we had more trainings than meetings and did not get to do all 5, but we did 4.</t>
  </si>
  <si>
    <t>We wrote the survey but have not had a meeting with the AD. I have reached out but he is super busy.</t>
  </si>
  <si>
    <t>morgan.thompson@macu.edu</t>
  </si>
  <si>
    <t>Morgan Thompson</t>
  </si>
  <si>
    <t>The formula was developed and completion rates were calculated for the last 8 years. Trends were identified and targets set by the University Retention Committee.</t>
  </si>
  <si>
    <t>1 - We reviewed the components but do not have access to update the information. We have been working with IT to update the accuracy of the current information and are working to get access to make additional updates.
2 - We are working to get the needed access.</t>
  </si>
  <si>
    <t>We completed the graphs and charts and narrative for the University Fact Book.</t>
  </si>
  <si>
    <t>The EoC dashboard was updated by IT. It is better but still has some issues.
We are working with IT to get access to make dashboards through PowerBI.</t>
  </si>
  <si>
    <t xml:space="preserve">Key Result 2.1 – Develop and implement communication processes to distribute EoCs to students in two or more ways. 75% We reviewed current processes for communicating with students about EoCs. Students had been receiving an email, but that email was going to their D2L email through automations. It has now been reviewed and set up to go to their MACU email account, which began in late April/early May. We are also working on developing direct links to the survey page on the portal, which will allow us to post that link in Canvas Announcements. This has been developed but not fully implemented.
Key Result 2.2 – Create a method for data dissemination with 3 stakeholder groups (VPAA/Deans, Chairs/Program Directors, Individual Faculty) 50% We will continue to disseminate data through the PowerBI Dashboard. IRE has been working with IT and has recently gotten access to edit this dashboard, which will be available to VPAA, Deans, Chairs, and Program Directors. The previous calculation errors have been corrected. It is being updated and will be shared with them shortly.
</t>
  </si>
  <si>
    <t>Key Result 3.1 - Review current retention processes and tracking through the two retention portals. 20% The retention analytics portal has been reviewed and have adjustments that need to be made with how things are sorted and calculated.
Key Result 3.2 - Write processes for calculating retention and persistence based on various demographic information. 80% We have implemented this tracking process and have most of it written down, but it still needs to be refined and reviewed
Key Result 3.3 - Develop a reporting process that reports data at all levels of the university with three major breakdowns. 67% We developed a reporting process that reports data by school and program, tracking enrollment, graduates, and semester-to-semester persistence. We will be adding future breakdowns by various demographics.</t>
  </si>
  <si>
    <t>Institutional Research and Effectiveness, Cabinet Member- Dr. Sharon Lease</t>
  </si>
  <si>
    <t xml:space="preserve">KR 1.1 - 90% - Dr. Lease and Morgan Thompson reviewed the former criteria and mapped them to the new criteria, effective 9/1/25 (for MACU’s next Assurance Argument). This is also available through HLC here. The HLC link also shows where some former criteria information has been moved to Assumed Practices.
KR 1.2 - 90% - The new criteria have been distributed and/or discussed with the President’s Cabinet, Faculty, Academic Affairs administrators, and Administrative Committee. These will continue to be discussed with these and other stakeholders across campus.
</t>
  </si>
  <si>
    <t xml:space="preserve">KR 2.1 - 90% - IRE copied and revised the form that was previously used for evidence submission. Evidence submitted through this form will be saved to Google Drive in a file available to Dr. Lease and IRE staff. The evidence will be downloaded annually to the AAIR drive as an official back-up. Evidence folders will be shared with appropriate sub-committees as they are formed to work on the 2027-2028 Assurance Argument. The form and warehousing folders are fully functional. Sample documents, tutorials, and FAQs still need to be created.
KR 2.2 - 95% - All minutes from Faculty meetings, Academic Council meetings, and Senate meetings for 23-24 have been collected; however, not all minutes have been signed, as they are waiting for approval in the next meeting. </t>
  </si>
  <si>
    <t>1 - We shared the information with many on campus and plan to continue to share over the next few months.
2 - We have collected 17 pieces of information.
3 - We have updated the narrative in alignment with the new criteria but need to updated evidence based on the last year.</t>
  </si>
  <si>
    <t>The new criteria were shared through a MACU Minute. More than 20 pieces of evidence have been submitted. CR1 has been reviewed but not revised.</t>
  </si>
  <si>
    <t xml:space="preserve">Key Result 1.1 - Identify and collect 20 pieces of evidence through the HLC Evidence Submission Form. 35% Seven pieces of evidence were collected. We anticipate more evidence coming in based on end-of-semester reports as well as the official beginning of committee meetings.
Key Result 1.2 - Identify 4 chairs/co-chairs for each criterion subcommittee for the 2027-2028 Assurance Argument 100% Chairs/Co-chairs have been identified for all 4 committees and reviewed by the President and Cabinet.
Key Result 1.3 - Work with each of the 7 groups scheduled to meet with the HLC Change Visit Team to prepare for the upcoming change visit 100% 7 groups or individuals were met with to prepare for the HLC Change Visit Team meetings (Board of Trustees, Cabinet, Curriculum Review, Assessment Committee, Full group of participants, University Services, Individual Faculty)
</t>
  </si>
  <si>
    <t>Institutional Research and Effectiveness, Student Services, Student Affairs</t>
  </si>
  <si>
    <t>We have aggregated some of the data but have plenty more to do!
We have made some initial plans but need to expand these.</t>
  </si>
  <si>
    <t>phil@macu.edu</t>
  </si>
  <si>
    <t>Phil Greenwald</t>
  </si>
  <si>
    <t>Office of the President</t>
  </si>
  <si>
    <t>Bookings in progress for chapel speakers and remote staff as well as other guests. Still working on student workers to assist with hospitality.</t>
  </si>
  <si>
    <t>University Chaplain hired! The task force worked on a revised schedule (40 minutes), added new lights, updated video streaming, and accommodated 500+ students plus faculty and staff (overflow rooms being updated for use).</t>
  </si>
  <si>
    <t>Congressional Spending Request submitted and received initial approval by the Senate Appropriations Committee on August 1. Director of Nursing hired! The University Senate process has started, and curriculum and partnerships are under discussion. Hosted celebration dinner.</t>
  </si>
  <si>
    <t>Exceptional training experience with multiple components</t>
  </si>
  <si>
    <t>Working with spiritual formation team on spring 2025</t>
  </si>
  <si>
    <t>Making progress - delayed by leadership transitions at other universities</t>
  </si>
  <si>
    <t xml:space="preserve">3 Trips planned and executed to out-of-state donors </t>
  </si>
  <si>
    <t>Travel, sickness, and weather... but we still need to improve!</t>
  </si>
  <si>
    <t>Budget and partial selections are done; waiting for funding and scheduling to begin work</t>
  </si>
  <si>
    <t>3.A, 3.D</t>
  </si>
  <si>
    <t>10+ visits, 2 new partnerships, progress and results on multiple gifts/pledges</t>
  </si>
  <si>
    <t>Project started, will be completed by June 23.</t>
  </si>
  <si>
    <t>Celebrated new  and outgoing university presidents, attending summer convention, coordinated meetings with CHOG leaders on campus and online</t>
  </si>
  <si>
    <t>PDR almost complete, KH 2nd floor in progress, Gaulke chairs arrived, chapel on hold</t>
  </si>
  <si>
    <t>REBECCA ENRIGHT</t>
  </si>
  <si>
    <t>All of the syllabi for the School of Business Leadership are in the process of being updated, while other schools are being updated by run date. We have replaced our Google Sheets Tracking Log with a Monday board that automatically adds items by communicating with our Curriculum Services Request Form.</t>
  </si>
  <si>
    <t>stephanie.davidson@macu.edu</t>
  </si>
  <si>
    <t>Stephanie Davidson</t>
  </si>
  <si>
    <t>Registrar</t>
  </si>
  <si>
    <t>When working with Christopher Canary, we discovered this process can move and be housed in Student Services and Registrar will act as support to drop the students from Student Services requests.</t>
  </si>
  <si>
    <t>Due to overwhelming communication projects for this past quarter, we have been on hold waiting on our Communications department to create the MACU Marketplace landing page. They have setup a time table to complete by mid-September. At that time, we can move forward with marketing.</t>
  </si>
  <si>
    <t>For 1ST, the team collaborated closely with faculty to adjust the CAGS program course schedules, removing the April and November courses to better align course availability with CAS terms.
For OKRs 2 and 3, our team faced challenges due to being short-staffed after a team member's departure and overlapping vacations. This led us to focus on completing tasks rather than taking necessary breaks. Additionally, we missed opportunities to meet regularly and hold each other accountable.</t>
  </si>
  <si>
    <t>Was able to collaborate with Communications/Branding, and Faculty to achieve both OKRs 1 and 2.</t>
  </si>
  <si>
    <t>registrar@macu.edu</t>
  </si>
  <si>
    <t>2.B, 2.C, 3.C</t>
  </si>
  <si>
    <t>We have completed KE 1, 2, but the training was delayed to last Wednesday in Feb. We will then be able to followup with KR 3 to 5</t>
  </si>
  <si>
    <t>Just didn't have time to focus. Was busy with start of school and implementing OKR2 by March 1st.</t>
  </si>
  <si>
    <t>KR5: 50</t>
  </si>
  <si>
    <t>Did not develop a survey on satisfaction for new Advising module. Only heard from half of the faculty who like and are comfortable to use the new system.</t>
  </si>
  <si>
    <t>tamara.dawson@macu.edu</t>
  </si>
  <si>
    <t>Tamara Dawson</t>
  </si>
  <si>
    <t>School of Business Leadership</t>
  </si>
  <si>
    <t>The SBL team worked hard on this OKR over the summer, and we exceeded our goal. We had 16 courses developed over the summer with weekly devotionals, for 114%</t>
  </si>
  <si>
    <t>We worked on the courses that were set to go live in September, October, and November first. Of those 100% were completed. The remaining syllabi are to be completed by the end of the fall semester. We are approximately 70% complete, which is on target.</t>
  </si>
  <si>
    <t>Network Mgmt. and Security, Accounting and Ethics, Business Admin. and Ethics, Cybersecurity, Digital Marketing, Healthcare MGMT, Management and Ethics, Master of Arts in Leadership, Master of Business Administration</t>
  </si>
  <si>
    <t>We have 8 of 10 programs mapped. All of the programs eligible for ACBSP accreditation have been mapped. The other two (Network Management &amp; Security and Cybersecurity) are using their previous curriculum maps.</t>
  </si>
  <si>
    <t xml:space="preserve">The substantive change report has been put on hold by the administration. The focus at this point is completing the Nursing Program sub/change. It was determined it would be better not to have two HLC sub/change visits in the same year. </t>
  </si>
  <si>
    <t>The ACBSP report is underway, and work has been done on the first four elements of the Institutional Overview. The spreadsheets are created and information is being added as we go through the preliminary processes of accreditation before a mentor is assigned.</t>
  </si>
  <si>
    <t>We were able to create an updated syllabus for each Business course in the catalog. These include the Common Proficiency Components and Topics sections for the ACBSP review.</t>
  </si>
  <si>
    <t>Other administrative duties, advising, and course development kept me from being able to complete all seven of the Unified Standards, but progress is well underway. We should meet the April deadline to complete this.
The required spreadsheets have been created and work is underway gathering the data that is required for reporting.</t>
  </si>
  <si>
    <t>I was able to successfully hire an adjunct for CAS who could teach during the day for this semester. This person is a MACU graduate and is currently teaching two courses, HR Management and Personal Finance.</t>
  </si>
  <si>
    <t xml:space="preserve">The SBL multi-disc options are listed in the catalog, and the SBL faculty have audited them to make sure they reflect the current courses. The only step left is submitting the change document for faculty and senate approval.
I was able to obtain the working documents that list the SBL degree plans. SBL faculty are working on the edits for this to ensure the catalog is up-to-date for the 2025-2026 iteration. This includes the Concentration areas within Business. We are close to having this completed. </t>
  </si>
  <si>
    <t>We completed 1ST, and have established a list of members for 2ND.</t>
  </si>
  <si>
    <t>There have actually been two hired, so this is 200% Yay!</t>
  </si>
  <si>
    <t>There are 6 of 7 programs complete for Key Result 1, and 5 of 7 programs are complete for Key Results 2 and 3.</t>
  </si>
  <si>
    <t>Jennifer Randall - Test</t>
  </si>
  <si>
    <t>Q2: September 2025 - November 2025</t>
  </si>
  <si>
    <t>Not applicable / entire SPU</t>
  </si>
  <si>
    <t>OKR 5</t>
  </si>
  <si>
    <t>KR4: 35</t>
  </si>
  <si>
    <t>Testing test test</t>
  </si>
  <si>
    <t>Q1: June 2025 - August 2025</t>
  </si>
  <si>
    <t>Student Affairs - Scraper Counseling Center</t>
  </si>
  <si>
    <t>Not Applicable</t>
  </si>
  <si>
    <t>OKR 3</t>
  </si>
  <si>
    <t>We had a targeted social media outreach plan that was so successful that we achieved 150% of our goal. Our goal was 125 registrants and we had 187. Our goal was 20 breakout sessions and we had 30. We wanted 30 booths and we had 63.</t>
  </si>
  <si>
    <t>OKR 4</t>
  </si>
  <si>
    <t xml:space="preserve">Although I did not complete the number of devotionals I wanted, I was able to lead the spiritual gift assessment and talk through their giftedness. </t>
  </si>
  <si>
    <t>We will have a completed plan this week for our small groups, and we are scheduled to give the survey at the all athlete meeting this month.</t>
  </si>
  <si>
    <t>OKR 1</t>
  </si>
  <si>
    <t>Summer projects delayed us, but we should be able to make progress in Q2.</t>
  </si>
  <si>
    <t>Jenzabar SaaS and staffing turnover delayed this.</t>
  </si>
  <si>
    <t>OKR 2</t>
  </si>
  <si>
    <t>All 3 faculty leveraged LLMs to organize and display original curricular content for optimal classroom use.</t>
  </si>
  <si>
    <t>Faculty reported individual research findings and subsequent early experimentation with LLMs and AI-enhanced word processors for producing writing mechanics feedback and qualitative application of rubric content.  Faculty related positive experiences leveraging the technologies to increase consistency, reduce bias, and provide confirmation of accuracy.  Plans were developed for beta-testing implementation in Q2 and Q3 (see Q2 OKRs).</t>
  </si>
  <si>
    <t>Sch. of Sci/Math - Biology</t>
  </si>
  <si>
    <t>All the faculty and staff on the biology and chemistry side increased their activity over the first quarter.</t>
  </si>
  <si>
    <t>saundra.medrano@macu.edu</t>
  </si>
  <si>
    <t>Saundra Medrano</t>
  </si>
  <si>
    <t>Sch. of Nursing - AS Nursing</t>
  </si>
  <si>
    <t xml:space="preserve">Met OKRs </t>
  </si>
  <si>
    <t>Everyone joined in on the wellness OKRs, though a few of us found it hard to step away because of steady student traffic and other departments needing our help. On average, we hit about 60% for daily mindful pauses and lunches, 80% participation in the “Move &amp; Reflect” session, around 50% for daily breath prayers or Scripture reflections, and about 40% for buddy-up reminders. Overall, we’re making progress and building the habit, but interruptions remain the biggest challenge, and we’ll need to find ways to support each other better so breaks aren’t lost.</t>
  </si>
  <si>
    <t xml:space="preserve">We decided to move our wellness challenges and events to Q2 and we spent Q1 planning. </t>
  </si>
  <si>
    <t>We were able to successfully implement two enhanced workflows. During this process we encountered various challenges. However, after two months of working with ADP, we were able to get the issues resolved.</t>
  </si>
  <si>
    <t>We collaborated with Career Development and provided supervisor training regarding student employment.</t>
  </si>
  <si>
    <t>Dr. Justin Key</t>
  </si>
  <si>
    <t>Y2:Q1: June 2025 - August 2025</t>
  </si>
  <si>
    <t>Sch. of Min. - MA in Christian Min.</t>
  </si>
  <si>
    <t xml:space="preserve">The application has been refined with other key leaders and we are continuing to work on it. I did not realize that this quarter would end before Key Results 2 and 3 could or needed to be completed. I am contacting ATS this week and we have until September 1 to submit the document. These key results will be carried over to the next quarter. 
*Update - All key results were completed and I have changed the scores. </t>
  </si>
  <si>
    <t>Phil Greenwald/Carrie Green</t>
  </si>
  <si>
    <t>Completed portfolio and met with stakeholders to begin implementation</t>
  </si>
  <si>
    <t>Implemented changes to meal plans, residence hall updates, booked travel establishing partnership for TSGL, improved office and common areas</t>
  </si>
  <si>
    <t>Hosted multiple events, coordinated logistics and travel, detailed communications with key stakeholders, establishing partnerships with CHOG organizations, lots of hospitality</t>
  </si>
  <si>
    <t>Chris Canary</t>
  </si>
  <si>
    <t>Student Affairs - Student Services</t>
  </si>
  <si>
    <t>OKR 7</t>
  </si>
  <si>
    <t xml:space="preserve">Within Nathan Braudrick's promotion to Student Services Manager, he and the Student Support Specialists started outlining changes and updates to MACU's New Student Orientation for CAGS / Accelerated students. This update is not complete yet, but it will be by August 31st and I will update our score at that time. </t>
  </si>
  <si>
    <t>Sch. of Teach. Ed. - Elementary. Edu.</t>
  </si>
  <si>
    <t xml:space="preserve">We have acquired the Credly software.  It has been configured to be included in OneLogin.  We are awaiting a link to be added to the website to allow it to be functional and we will be ready to apply for the microcredentials from OSRHE. </t>
  </si>
  <si>
    <t>Each one who engaged the "prayer@macu.edu" account was responded to in accordance with their wishes. (Some just wanted prayers and others desired an email response.) The plaque for the Prayer Labyrinth has yet to be put in place.</t>
  </si>
  <si>
    <t xml:space="preserve">Prayer responders have been added to meet existing needs. However, the Prevailing Prayer Wall has yet to be completed, so the signage hasn't been posted. </t>
  </si>
  <si>
    <t xml:space="preserve">Yes, the second Zoom discipleship course was conducted.  Recording of sessions was accomplished barring a few technological glitches/issues. </t>
  </si>
  <si>
    <t>Cabinet Member- Dr. Sharon Lease</t>
  </si>
  <si>
    <t xml:space="preserve">Key Result 1.1 - Identify and collect 20 pieces of evidence through the HLC Evidence Submission Form. 
105% - 21 pieces of evidence have been submitted, making the total 52 for the 27-28 Assurance Argument (Only 1250 to go)!
Key Result 1.2 - Prepare for launch of 2027-2028 Assurance Argument 
85% The starting list of co-chairs has been developed and approved by the President. These individuals will be contacted by Dr. Lease in early September. The updated HLC Criteria for Accreditation have been posted on the Assessment Site. The Evidence Collection Form has been created, and a cover sheet has been created for evidence specific to the 27-28 Assurance Argument.
</t>
  </si>
  <si>
    <t xml:space="preserve">Key Result 2.1 – Update the data dissemination process for Academic Administrators, Chairs/Program Directors, and FT Faculty. 
70% - The dashboard has been updated, and permissions have been shared. However, the current EoC forms are not uploading to the dashboard because of recent JZ changes. Current data is not visible.
Key Result 2.2 – Evaluate the current system for collecting responses to determine effectiveness 
85% We have found that the current system has some bugs. If there is an issue, it is usually a few weeks before we are aware of the issue because of the lag in data reporting. With the recent changes in JZ, data is not feeding from the Portal to the dashboard. When we switched to Canvas, the notifications were continuing to go to the students’ d2L emails, which contributed to low response rates. We have tracked number of responses received over the last five years. There is a way to provide students with a link that will take them directly to the page on the Portal, which is good. This would allow us to easily post in Canvas. We have considered other options, such as using individual class links in SurveyMonkey; however, this is very labor-intensive for the department and would have to be manually uploaded as a data set to the dashboard. We previewed another system (Block Survey), but SurveyMonkey seems to be able to provide the same, if not better, services. We are meeting with IT this week about our portal needs in preparation for the Portal overhaul. A decision has not been made, but we have significant concerns about the effectiveness of the current system.
</t>
  </si>
  <si>
    <t>kelly.riesenmy@macu.edu</t>
  </si>
  <si>
    <t>Kellly Riesenmy, PhD</t>
  </si>
  <si>
    <t>School of Business</t>
  </si>
  <si>
    <t>The School of Business faculty unanimously took vacation time, developed curriculum, read both academic, spiritual, and leisure books, and designated wellness and relaxation activities. Please refer to the link below for the spreadsheet detailing the percentage of time each team member spent on these activities and the specific activities identified. https://docs.google.com/spreadsheets/d/1eCcTP9SO09HhLOcaVT4AmuZASp0iLT2OQATqYxbm-M0/edit?usp=sharing</t>
  </si>
  <si>
    <t>Student Affairs - Housing</t>
  </si>
  <si>
    <t>We observed an increase in RA engagement and preparation leading up to August training, which resulted in student leaders being more equipped and ready to welcome new students to campus. A key challenge during this period was balancing other pressing priorities, which at times caused divided attention and limited focus on training preparation.</t>
  </si>
  <si>
    <t>Rebecca Enright</t>
  </si>
  <si>
    <t xml:space="preserve">We ran into challenges with some of the publishers and their LTI platforms working properly with Canvas LMS. We found that we need more time to continue testing and finding solutions to some of the technical challenges. </t>
  </si>
  <si>
    <t>Enrollment and Operations - Enrollment</t>
  </si>
  <si>
    <t>Summertime, with all of the vacations of staff members, is not a time conducive to scheduling team events of any kind. We will need to reengage this goal in the future to see better results.</t>
  </si>
  <si>
    <t>Student Affairs - Student Life</t>
  </si>
  <si>
    <t xml:space="preserve">We created the summary and began a marketing plan for Community Service. </t>
  </si>
  <si>
    <t>OKR 6</t>
  </si>
  <si>
    <t xml:space="preserve">I believe we have been able to track down the majority of MACU's appeal processes found in the catalog, student handbook, and other locations, but we cannot be sure that we've uncovered the totality just yet. At the time of this writing, we also have not written out a comprehensive document suggesting updates to our policies, procedures, polity, or practices. We have, however, come up with quite a few suggestions that could potentially be fleshed out by an interdepartmental task force or even a criterion committee. </t>
  </si>
  <si>
    <t xml:space="preserve">One of our staff resigned at the beginning of the reporting period, so time was reallocated to hiring and training her replacement. This OKR will be accomplished, but the final results are delayed. </t>
  </si>
  <si>
    <t>Key Result 3.1 - Review current retention processes and tracking through the retention portal. 
50% We did the manual calculations and compared them to see where they were off. We have not coordinated with IT to fix these yet.
Key Result 3.2 - Work with Chairs/Program Directors to establish ongoing persistence and completion goals for each academic program. 
70% We have established a way for chairs/program directors to set and communicate annual goals to IRE. We are in the process of getting these back and creating a report from them.
Key Result 3.3 - Work with Student Affairs to review the collection and input of student exit reasons. 
60% We discussed this in the University Retention Committee. Students without exit reasons were identified and sent to Student Affairs, who has some of the information stored on Google Drive. We are still working on a good, clear process for getting these into JZ on a regular basis, especially for traditional students.
Key Result 3.4 - Work with the Registrar to develop a method for regularly tracking transfer-out rates. 
30% I have looked at what other institutions are doing to track this and will work with the Registrar and IT to make sure we are tracking this and have it on a report for us to use in the future.</t>
  </si>
  <si>
    <t xml:space="preserve">Over the summer, courses were considered for the adoption of new/updated activities/assignments that will embrace and utilize AI and/or innovative technologies as a component of the curriculum process. </t>
  </si>
  <si>
    <t>Academic Deans</t>
  </si>
  <si>
    <t xml:space="preserve">SHSS Chairs and Program Directors collaborated to develop a quarterly initiative that aims to incorporate new and vital information directives that hope to collaborate with the adjusted/expanding field of academic deans in the 2025-26 calendar year. Additional collaboration for quarterly meetings will also be sought with reps from Student Services and Curriculum Services. </t>
  </si>
  <si>
    <t xml:space="preserve">We were able to combine all disbursement related spreadsheets to one sheet, making it easier for all members of the team for disbursing needs. Additionally, collaboration on the current active sheet will improve usage for gathering and retrieving data. </t>
  </si>
  <si>
    <t>amanda.orso@macu.edu</t>
  </si>
  <si>
    <t>Amanda Orso</t>
  </si>
  <si>
    <t>Our Welcome Centers now provide a 'visitor' badge to identify special guests on campus and we now have bottled water at the FH Welcome Center.  Potential students who come to visit the Enrollment team are provided with a 'swag bag' when they arrive in Fozard Hall. During the first week of class our KH Welcome Center provides 'back to school goodies' for our evening students. We collaborated with Communications to now provide a 'Welcome' slide on the monitors around campus for external events. We are still working toward a 'room reservation' signage system to help direct visitors, faculty and staff to the correct rooms for events.</t>
  </si>
  <si>
    <t xml:space="preserve">SHSS Chairs and Program Directors met to determine the chronological order that will open pathways for innovative steps in curriculum assessment strategies. Prior to collaborating with Curriculum Services, it will be essential to collaborate with the Office of Institutional Research and Effectiveness in order to update appropriate changes to the Curriculum Maps held by each program. Updating the CMs will allow PDs to then identify which updated SLOs to approach for PO assessment strategies in 2026-27. </t>
  </si>
  <si>
    <t xml:space="preserve">KR1: 50% - The WIBGI documents were merged from two into one, allowing the tracking and committee comments to take place in one document. The OKR tracking process managed two spreadsheets and remain this way for now. After reviewing multiple ways to merge them into one, it was determined to keep them separated at this time as the spreadsheets are tied to separate submission forms. Merging them would require significant changes to submission forms that would result in additional complexity on the behalf of the front line user. 
KR2: 100% - Multiple Excel formulas were applied to the merged WIBGI documents, reducing the amount of manual copy/paste work required with the old process by about 90%. Now, a goal is entered once, and every cell in every corresponding column is automatically updated to the individual tabs of all WIBGI committee members. Voting is collated by formula to the master sheet, automatically averaging and documenting scores from all members. 
The OKR documents, while remaining separate, have been aligned to allow for a unique identifier between the two documents. This allows one formula to be used to merge key information from the scoring form onto the OKR tracking submission document. This paves the way for AI to be applied in the future, as all information is readily accessible in one place. </t>
  </si>
  <si>
    <t>Kimberly S. Thomas</t>
  </si>
  <si>
    <t>Sch. of Beh. Sci. &amp; Coun - Counseling</t>
  </si>
  <si>
    <t>This OKR has many working parts which include different departments, so it will take time to coordinate the creation of this project.</t>
  </si>
  <si>
    <t>Carol  Fowlkes</t>
  </si>
  <si>
    <t>Sch. of Sci/Math - Mathematics</t>
  </si>
  <si>
    <t>We were able to revise 2 out of 3 DA courses, added technology to Discrete Math, have degree plan for engineering program in draft form</t>
  </si>
  <si>
    <t>Have courses, degree plan, and course descriptions complete for the Engineering program</t>
  </si>
  <si>
    <t xml:space="preserve">The Salesforce implementation has been wonderful and has helped process applications in a timely manner.  It has significantly improved the student application experience. </t>
  </si>
  <si>
    <t>Student Affairs - Career Services</t>
  </si>
  <si>
    <t>I was proud to hit my goal and go above the 7 resources that I produced for students to have access to. My goal with the landing page is that students can feel empowered to begin working on their career development at any time with these accessible resources.</t>
  </si>
  <si>
    <t>Communicating with our campus' coaches about who and how spiritual formation will take place in our sports teams gives us a plan to have meaningful, Christ-like spiritual formation for our student athletes</t>
  </si>
  <si>
    <t xml:space="preserve">We have ran into challenges with multiple business making severe cuts to their marketing and promotions budgets.  We have had more success with local businesses than bigger/national ones. </t>
  </si>
  <si>
    <t>Business Office</t>
  </si>
  <si>
    <t>KR3: We were not able to complete the service project due to unexpected circumstances (other party) where we were going to complete the project.</t>
  </si>
  <si>
    <t>It's difficult to verify all accounts in a timely manner.</t>
  </si>
  <si>
    <t>KR2: After agreeing to the timeline, the auditors said that an audit draft would be provided by September 5.</t>
  </si>
  <si>
    <t>We completed the book and we participated in the TPA program.</t>
  </si>
  <si>
    <t>We found ourselves quite overwhelmed by many tasks, and I personally did not do a good job of keeping the OKRs in front of my team. I created them on my own, which did not foster a team approach to implementing them.</t>
  </si>
  <si>
    <t>Strategic Communications</t>
  </si>
  <si>
    <t>Strategic Coms. - Alumni Engagement</t>
  </si>
  <si>
    <t xml:space="preserve">For the first time since the inception of the iMpact Awards, all iMpact recipients will be able to attend in person this year, which will impact the attendance of the awards. </t>
  </si>
  <si>
    <t>Strategic Coms. - Evangel Corner/Mailroom</t>
  </si>
  <si>
    <t xml:space="preserve">Items are selected, however there are several items outstanding to market to parents. We are also working on the Square ability for parents/guardians to add notes to packages that they send. Hoping to have the marketing and the Square ability ready to go by the time we reach finals. </t>
  </si>
  <si>
    <t>We’ve built a catalog of stories, videos, and graphics that can be seamlessly integrated into a variety of creative projects, helping us work smarter and expand our reach.</t>
  </si>
  <si>
    <t>Strategic Coms. - Communications</t>
  </si>
  <si>
    <t xml:space="preserve">This one we are incredibly proud of as a team! We successfully launched EvangelNet through OneLogin, making it accessible to faculty and staff as long as they are signed in. </t>
  </si>
  <si>
    <t xml:space="preserve">Today is August 29th and James Brooks has just put the finishing touches on our updated NSO presentation. We've moved it to Google Slides and made jtest@my.macu.edu so that all NSO tech is located under one account instead of having to log into Prezi as well. </t>
  </si>
  <si>
    <t>HLC fully approved program, and students identified and retained for class start.</t>
  </si>
  <si>
    <t>??/??/???? ??;??:??</t>
  </si>
  <si>
    <t>leon.desecottier@macu.edu</t>
  </si>
  <si>
    <t>DR L R DeSecottier</t>
  </si>
  <si>
    <t>School Counseling</t>
  </si>
  <si>
    <t>***Claire put this score in as it was on the tracking sheet but never scored on the response form / could not find the score ANYWHERE \(7/2)</t>
  </si>
  <si>
    <t>Christie smith</t>
  </si>
  <si>
    <t>SUBMITTED by CB</t>
  </si>
  <si>
    <t>3.a</t>
  </si>
  <si>
    <t>2nd</t>
  </si>
  <si>
    <t xml:space="preserve">There was a score on the tracking sheet submitted by Amanda Harris but there was never a submission put into the scoring responses - CB </t>
  </si>
  <si>
    <t>1.a</t>
  </si>
  <si>
    <t xml:space="preserve">Was submitted on submission form, there was a score on the tracking sheet, but no score shown on response - entered in manually // CB </t>
  </si>
  <si>
    <t>Both have been completed, (entered on behalf of Saundra Medrano, by posw)</t>
  </si>
  <si>
    <t xml:space="preserve">Please Select the Primary Strategic Planning Unit for the selected OKR.  (If the OKR was submitted collaboration with another SPU, select all that apply.) </t>
  </si>
  <si>
    <t>Please enter the Sub-Unit for the OKR you wish to score if applicable.  (If you submitted an OKR in collaboration with another Sub-Unit, enter all that apply.) SPU Sub-Units</t>
  </si>
  <si>
    <t xml:space="preserve">Please select the OKR you wish to score for your Strategic Planning Unit. </t>
  </si>
  <si>
    <t>Average Score</t>
  </si>
  <si>
    <t xml:space="preserve">Key Result 2: Please enter your numerical score (0-100). Skip this question if you have no further Key Results for this Objective. </t>
  </si>
  <si>
    <t>Key Result 3: Please enter your numerical score (0-100). Skip this question if you have no further Key Results for this Objective.</t>
  </si>
  <si>
    <t xml:space="preserve">Key Result 4: Please enter your numerical score (0-100). Skip this question if you have no further Key Results for this Objective. </t>
  </si>
  <si>
    <t xml:space="preserve">If you have more than 4 Key Results for this Objective, please enter the Objective number and numerical scores here. (ex: KR5: 50, KR6: 90, etc.) </t>
  </si>
  <si>
    <t xml:space="preserve">Please provide an explanation for your scores: Challenges, Accomplishments, etc. </t>
  </si>
  <si>
    <t>Residential Housing</t>
  </si>
  <si>
    <t>Mathematics</t>
  </si>
  <si>
    <t>Solicit, Recruit, Evaluate, Hire, and Train 1-2 new Student Workers within SHSS: x1 in COMM, x1 to report to CAGS Senior Coordinator and COLLABORATE with all programs as needed.</t>
  </si>
  <si>
    <t>Enhance the number of interpersonal training opportunities between cags program directors and cags part-time faculty.</t>
  </si>
  <si>
    <t>Integrate the new Canvas LMS into teaching and learning.</t>
  </si>
  <si>
    <t>Garret Castleberry/Kenneth Schell</t>
  </si>
  <si>
    <t xml:space="preserve"> Integrate new and emerging technologies into teaching and learning.</t>
  </si>
  <si>
    <t>Glenne' Whisenhbunt</t>
  </si>
  <si>
    <t>School of Teacher Education - Ed Studies</t>
  </si>
  <si>
    <t>KR5: 0, KR6:0</t>
  </si>
  <si>
    <t>KR5:20, KR6: 20</t>
  </si>
  <si>
    <t>Pickens</t>
  </si>
  <si>
    <t>COUNTA of Please select the year and quarter you will score.</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</si>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</sst>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b/>
      <color theme="1"/>
      <name val="Arial"/>
      <scheme val="minor"/>
    </font>
    <font>
      <color theme="1"/>
      <name val="Arial"/>
    </font>
    <font>
      <u/>
      <color rgb="FF0000FF"/>
    </font>
    <font>
      <b/>
      <color theme="1"/>
      <name val="Arial"/>
    </font>
    <font>
      <sz val="10.0"/>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3" xfId="0" applyAlignment="1" applyFont="1" applyNumberFormat="1">
      <alignment shrinkToFit="0" wrapText="1"/>
    </xf>
    <xf borderId="0" fillId="0" fontId="1" numFmtId="3" xfId="0" applyAlignment="1" applyFont="1" applyNumberFormat="1">
      <alignment readingOrder="0" shrinkToFit="0" wrapText="1"/>
    </xf>
    <xf borderId="0" fillId="0" fontId="1" numFmtId="3" xfId="0" applyAlignment="1" applyFont="1" applyNumberFormat="1">
      <alignment readingOrder="0" shrinkToFit="0" wrapText="1"/>
    </xf>
    <xf borderId="0" fillId="0" fontId="1" numFmtId="10" xfId="0" applyAlignment="1" applyFont="1" applyNumberForma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3" xfId="0" applyAlignment="1" applyFont="1" applyNumberFormat="1">
      <alignment readingOrder="0" shrinkToFit="0" wrapText="1"/>
    </xf>
    <xf borderId="0" fillId="0" fontId="1" numFmtId="3" xfId="0" applyAlignment="1" applyFont="1" applyNumberFormat="1">
      <alignment shrinkToFit="0" wrapText="1"/>
    </xf>
    <xf borderId="0" fillId="0" fontId="1" numFmtId="9" xfId="0" applyAlignment="1" applyFont="1" applyNumberFormat="1">
      <alignment shrinkToFit="0" wrapText="1"/>
    </xf>
    <xf borderId="0" fillId="0" fontId="3" numFmtId="0" xfId="0" applyAlignment="1" applyFont="1">
      <alignment shrinkToFit="0" vertical="bottom" wrapText="1"/>
    </xf>
    <xf borderId="0" fillId="0" fontId="1" numFmtId="0" xfId="0" applyAlignment="1" applyFont="1">
      <alignment readingOrder="0" shrinkToFit="0" wrapText="1"/>
    </xf>
    <xf borderId="0" fillId="0" fontId="1" numFmtId="10" xfId="0" applyAlignment="1" applyFont="1" applyNumberFormat="1">
      <alignment readingOrder="0" shrinkToFit="0" wrapText="1"/>
    </xf>
    <xf borderId="0" fillId="0" fontId="3" numFmtId="0" xfId="0" applyAlignment="1" applyFont="1">
      <alignment shrinkToFit="0" vertical="bottom" wrapText="1"/>
    </xf>
    <xf borderId="0" fillId="2" fontId="1" numFmtId="0" xfId="0" applyAlignment="1" applyFill="1" applyFont="1">
      <alignment readingOrder="0" shrinkToFit="0" wrapText="1"/>
    </xf>
    <xf borderId="0" fillId="0" fontId="1" numFmtId="0" xfId="0" applyAlignment="1" applyFont="1">
      <alignment horizontal="right" readingOrder="0" shrinkToFit="0" wrapText="1"/>
    </xf>
    <xf borderId="0" fillId="0" fontId="1" numFmtId="0" xfId="0" applyAlignment="1" applyFont="1">
      <alignment readingOrder="0" shrinkToFit="0" wrapText="1"/>
    </xf>
    <xf borderId="0" fillId="0" fontId="1" numFmtId="9" xfId="0" applyAlignment="1" applyFont="1" applyNumberFormat="1">
      <alignment readingOrder="0" shrinkToFit="0" wrapText="1"/>
    </xf>
    <xf borderId="0" fillId="0" fontId="4" numFmtId="0" xfId="0" applyAlignment="1" applyFont="1">
      <alignment readingOrder="0" shrinkToFit="0" wrapText="1"/>
    </xf>
    <xf borderId="0" fillId="0" fontId="5" numFmtId="0" xfId="0" applyAlignment="1" applyFont="1">
      <alignment shrinkToFit="0" vertical="bottom" wrapText="1"/>
    </xf>
    <xf borderId="0" fillId="3" fontId="1" numFmtId="164" xfId="0" applyAlignment="1" applyFill="1" applyFont="1" applyNumberFormat="1">
      <alignment readingOrder="0" shrinkToFit="0" wrapText="1"/>
    </xf>
    <xf borderId="0" fillId="3" fontId="1" numFmtId="0" xfId="0" applyAlignment="1" applyFont="1">
      <alignment readingOrder="0" shrinkToFit="0" wrapText="1"/>
    </xf>
    <xf borderId="0" fillId="3" fontId="1" numFmtId="0" xfId="0" applyAlignment="1" applyFont="1">
      <alignment shrinkToFit="0" wrapText="1"/>
    </xf>
    <xf borderId="0" fillId="3" fontId="1" numFmtId="0" xfId="0" applyAlignment="1" applyFont="1">
      <alignment readingOrder="0" shrinkToFit="0" wrapText="1"/>
    </xf>
    <xf borderId="0" fillId="3" fontId="1" numFmtId="3" xfId="0" applyAlignment="1" applyFont="1" applyNumberFormat="1">
      <alignment readingOrder="0" shrinkToFit="0" wrapText="1"/>
    </xf>
    <xf borderId="0" fillId="3" fontId="1" numFmtId="3" xfId="0" applyAlignment="1" applyFont="1" applyNumberFormat="1">
      <alignment shrinkToFit="0" wrapText="1"/>
    </xf>
    <xf borderId="0" fillId="3" fontId="1" numFmtId="9" xfId="0" applyAlignment="1" applyFont="1" applyNumberFormat="1">
      <alignment shrinkToFit="0" wrapText="1"/>
    </xf>
    <xf borderId="0" fillId="0" fontId="6"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readingOrder="0"/>
    </xf>
    <xf borderId="0" fillId="2" fontId="1" numFmtId="164" xfId="0" applyAlignment="1" applyFont="1" applyNumberFormat="1">
      <alignment readingOrder="0"/>
    </xf>
    <xf borderId="0" fillId="2" fontId="1" numFmtId="164" xfId="0" applyAlignment="1" applyFont="1" applyNumberFormat="1">
      <alignment readingOrder="0" shrinkToFit="0" wrapText="1"/>
    </xf>
    <xf borderId="0" fillId="2" fontId="1" numFmtId="0" xfId="0" applyAlignment="1" applyFont="1">
      <alignment readingOrder="0"/>
    </xf>
    <xf borderId="0" fillId="2" fontId="1" numFmtId="0" xfId="0" applyFont="1"/>
    <xf borderId="0" fillId="2" fontId="3" numFmtId="0" xfId="0" applyAlignment="1" applyFont="1">
      <alignment shrinkToFit="0" vertical="bottom" wrapText="1"/>
    </xf>
    <xf borderId="0" fillId="2" fontId="3" numFmtId="0" xfId="0" applyAlignment="1" applyFont="1">
      <alignment shrinkToFit="0" vertical="bottom" wrapText="1"/>
    </xf>
    <xf borderId="0" fillId="0" fontId="1" numFmtId="10" xfId="0" applyAlignment="1" applyFont="1" applyNumberFormat="1">
      <alignment shrinkToFit="0" wrapText="1"/>
    </xf>
    <xf borderId="0" fillId="2" fontId="1" numFmtId="164" xfId="0" applyAlignment="1" applyFont="1" applyNumberFormat="1">
      <alignment readingOrder="0" shrinkToFit="0" wrapText="1"/>
    </xf>
    <xf borderId="0" fillId="2" fontId="1" numFmtId="0" xfId="0" applyAlignment="1" applyFont="1">
      <alignment shrinkToFit="0" wrapText="1"/>
    </xf>
    <xf borderId="0" fillId="2" fontId="1" numFmtId="3" xfId="0" applyAlignment="1" applyFont="1" applyNumberFormat="1">
      <alignment readingOrder="0" shrinkToFit="0" wrapText="1"/>
    </xf>
    <xf borderId="0" fillId="2" fontId="1" numFmtId="3" xfId="0" applyAlignment="1" applyFont="1" applyNumberFormat="1">
      <alignment shrinkToFit="0" wrapText="1"/>
    </xf>
    <xf borderId="0" fillId="2" fontId="1" numFmtId="10" xfId="0" applyAlignment="1" applyFont="1" applyNumberFormat="1">
      <alignment shrinkToFit="0" wrapText="1"/>
    </xf>
    <xf borderId="0" fillId="0" fontId="1" numFmtId="0" xfId="0" applyAlignment="1" applyFont="1">
      <alignment shrinkToFit="0" wrapText="1"/>
    </xf>
    <xf borderId="0" fillId="0" fontId="1" numFmtId="1" xfId="0" applyAlignment="1" applyFont="1" applyNumberFormat="1">
      <alignment readingOrder="0" shrinkToFit="0" wrapText="1"/>
    </xf>
    <xf borderId="0" fillId="0" fontId="1" numFmtId="0" xfId="0" applyAlignment="1" applyFont="1">
      <alignment readingOrder="0" shrinkToFit="0" wrapText="1"/>
    </xf>
    <xf borderId="0" fillId="2" fontId="1" numFmtId="1" xfId="0" applyAlignment="1" applyFont="1" applyNumberFormat="1">
      <alignment readingOrder="0" shrinkToFit="0" wrapText="1"/>
    </xf>
    <xf borderId="0" fillId="0" fontId="1" numFmtId="1" xfId="0" applyAlignment="1" applyFont="1" applyNumberFormat="1">
      <alignment shrinkToFit="0" wrapText="1"/>
    </xf>
    <xf borderId="0" fillId="0" fontId="1" numFmtId="1" xfId="0" applyFont="1" applyNumberFormat="1"/>
    <xf borderId="0" fillId="0" fontId="1" numFmtId="164" xfId="0" applyAlignment="1" applyFont="1" applyNumberFormat="1">
      <alignment shrinkToFit="0" wrapText="1"/>
    </xf>
    <xf borderId="0" fillId="0" fontId="1" numFmtId="16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Xzfz54ZevzZtrzFODYoFtmAgrN9lZmTwsHgbxlfvrDQ/edit?gid=1531048963"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13"/>
    <col customWidth="1" min="2" max="2" width="33.13"/>
    <col customWidth="1" min="3" max="3" width="28.13"/>
    <col customWidth="1" min="4" max="4" width="19.25"/>
    <col customWidth="1" min="5" max="5" width="16.0"/>
    <col customWidth="1" min="6" max="6" width="36.75"/>
    <col customWidth="1" min="7" max="7" width="27.5"/>
    <col customWidth="1" min="8" max="8" width="18.88"/>
    <col customWidth="1" min="9" max="9" width="15.38"/>
    <col customWidth="1" min="10" max="10" width="17.25"/>
    <col customWidth="1" min="11" max="11" width="12.75"/>
    <col customWidth="1" min="12" max="12" width="11.88"/>
    <col customWidth="1" min="13" max="13" width="12.5"/>
    <col customWidth="1" min="14" max="14" width="12.63"/>
    <col customWidth="1" min="15" max="15" width="12.25"/>
    <col customWidth="1" min="16" max="16" width="10.25"/>
    <col customWidth="1" min="17" max="17" width="12.88"/>
    <col customWidth="1" min="18" max="18" width="113.25"/>
    <col customWidth="1" min="19" max="25" width="36.75"/>
  </cols>
  <sheetData>
    <row r="1" ht="52.5" customHeight="1">
      <c r="A1" s="1" t="s">
        <v>0</v>
      </c>
      <c r="B1" s="2" t="s">
        <v>1</v>
      </c>
      <c r="C1" s="1" t="s">
        <v>2</v>
      </c>
      <c r="D1" s="3" t="s">
        <v>3</v>
      </c>
      <c r="E1" s="4" t="s">
        <v>4</v>
      </c>
      <c r="F1" s="4" t="s">
        <v>5</v>
      </c>
      <c r="G1" s="4" t="s">
        <v>6</v>
      </c>
      <c r="H1" s="3" t="s">
        <v>7</v>
      </c>
      <c r="I1" s="2" t="s">
        <v>8</v>
      </c>
      <c r="J1" s="4" t="s">
        <v>9</v>
      </c>
      <c r="K1" s="5" t="s">
        <v>10</v>
      </c>
      <c r="L1" s="6" t="s">
        <v>11</v>
      </c>
      <c r="M1" s="6" t="s">
        <v>12</v>
      </c>
      <c r="N1" s="6" t="s">
        <v>13</v>
      </c>
      <c r="O1" s="6" t="s">
        <v>14</v>
      </c>
      <c r="P1" s="7" t="s">
        <v>15</v>
      </c>
      <c r="Q1" s="8" t="s">
        <v>16</v>
      </c>
      <c r="R1" s="4" t="s">
        <v>17</v>
      </c>
      <c r="S1" s="2" t="s">
        <v>18</v>
      </c>
      <c r="T1" s="9" t="s">
        <v>15</v>
      </c>
      <c r="U1" s="9" t="s">
        <v>15</v>
      </c>
      <c r="V1" s="9" t="s">
        <v>15</v>
      </c>
      <c r="W1" s="9" t="s">
        <v>15</v>
      </c>
      <c r="X1" s="9" t="s">
        <v>15</v>
      </c>
      <c r="Y1" s="9" t="s">
        <v>15</v>
      </c>
    </row>
    <row r="2" hidden="1">
      <c r="A2" s="10">
        <v>45517.4256515625</v>
      </c>
      <c r="B2" s="10" t="str">
        <f t="shared" ref="B2:B260" si="1">CONCATENATE(D2,E2,J2,I2)</f>
        <v>Amanda HarrisQ1: June 2024 - August 20243RD1.D</v>
      </c>
      <c r="C2" s="11" t="s">
        <v>19</v>
      </c>
      <c r="D2" s="11" t="s">
        <v>20</v>
      </c>
      <c r="E2" s="11" t="s">
        <v>21</v>
      </c>
      <c r="F2" s="11" t="s">
        <v>22</v>
      </c>
      <c r="G2" s="9"/>
      <c r="H2" s="12"/>
      <c r="I2" s="11" t="s">
        <v>23</v>
      </c>
      <c r="J2" s="11" t="s">
        <v>24</v>
      </c>
      <c r="K2" s="13">
        <v>80.0</v>
      </c>
      <c r="L2" s="14"/>
      <c r="M2" s="14"/>
      <c r="N2" s="14"/>
      <c r="O2" s="14"/>
      <c r="P2" s="14"/>
      <c r="Q2" s="15">
        <f t="shared" ref="Q2:Q8" si="2">AVERAGE(K2:P2)/100</f>
        <v>0.8</v>
      </c>
      <c r="R2" s="11" t="s">
        <v>25</v>
      </c>
      <c r="S2" s="9"/>
      <c r="T2" s="9"/>
      <c r="U2" s="9"/>
      <c r="V2" s="9"/>
      <c r="W2" s="9"/>
      <c r="X2" s="9"/>
      <c r="Y2" s="9"/>
    </row>
    <row r="3" hidden="1">
      <c r="A3" s="10">
        <v>45517.412850162036</v>
      </c>
      <c r="B3" s="10" t="str">
        <f t="shared" si="1"/>
        <v>Amanda HarrisQ1: June 2024 - August 20242ND2.C</v>
      </c>
      <c r="C3" s="11" t="s">
        <v>19</v>
      </c>
      <c r="D3" s="11" t="s">
        <v>20</v>
      </c>
      <c r="E3" s="11" t="s">
        <v>21</v>
      </c>
      <c r="F3" s="11" t="s">
        <v>26</v>
      </c>
      <c r="G3" s="9"/>
      <c r="H3" s="12"/>
      <c r="I3" s="11" t="s">
        <v>27</v>
      </c>
      <c r="J3" s="11" t="s">
        <v>28</v>
      </c>
      <c r="K3" s="13">
        <v>90.0</v>
      </c>
      <c r="L3" s="14"/>
      <c r="M3" s="14"/>
      <c r="N3" s="14"/>
      <c r="O3" s="14"/>
      <c r="P3" s="14"/>
      <c r="Q3" s="15">
        <f t="shared" si="2"/>
        <v>0.9</v>
      </c>
      <c r="R3" s="11" t="s">
        <v>29</v>
      </c>
      <c r="S3" s="9"/>
      <c r="T3" s="9"/>
      <c r="U3" s="9"/>
      <c r="V3" s="9"/>
      <c r="W3" s="9"/>
      <c r="X3" s="9"/>
      <c r="Y3" s="9"/>
    </row>
    <row r="4" hidden="1">
      <c r="A4" s="10">
        <v>45523.752142384255</v>
      </c>
      <c r="B4" s="10" t="str">
        <f t="shared" si="1"/>
        <v>Amanda HarrisQ1: June 2024 - August 20241ST2.D</v>
      </c>
      <c r="C4" s="11" t="s">
        <v>19</v>
      </c>
      <c r="D4" s="11" t="s">
        <v>20</v>
      </c>
      <c r="E4" s="11" t="s">
        <v>21</v>
      </c>
      <c r="F4" s="11" t="s">
        <v>26</v>
      </c>
      <c r="G4" s="11" t="s">
        <v>30</v>
      </c>
      <c r="H4" s="12"/>
      <c r="I4" s="11" t="s">
        <v>31</v>
      </c>
      <c r="J4" s="11" t="s">
        <v>32</v>
      </c>
      <c r="K4" s="13">
        <v>65.0</v>
      </c>
      <c r="L4" s="14"/>
      <c r="M4" s="14"/>
      <c r="N4" s="14"/>
      <c r="O4" s="14"/>
      <c r="P4" s="14"/>
      <c r="Q4" s="15">
        <f t="shared" si="2"/>
        <v>0.65</v>
      </c>
      <c r="R4" s="11" t="s">
        <v>33</v>
      </c>
      <c r="S4" s="9"/>
      <c r="T4" s="9"/>
      <c r="U4" s="9"/>
      <c r="V4" s="9"/>
      <c r="W4" s="9"/>
      <c r="X4" s="9"/>
      <c r="Y4" s="9"/>
    </row>
    <row r="5" hidden="1">
      <c r="A5" s="10">
        <v>45607.43352601852</v>
      </c>
      <c r="B5" s="10" t="str">
        <f t="shared" si="1"/>
        <v>Amanda HarrisQ2: September 2024 - November 20242ND2.A</v>
      </c>
      <c r="C5" s="11" t="s">
        <v>19</v>
      </c>
      <c r="D5" s="11" t="s">
        <v>20</v>
      </c>
      <c r="E5" s="11" t="s">
        <v>34</v>
      </c>
      <c r="F5" s="11" t="s">
        <v>35</v>
      </c>
      <c r="G5" s="9"/>
      <c r="H5" s="12"/>
      <c r="I5" s="11" t="s">
        <v>36</v>
      </c>
      <c r="J5" s="11" t="s">
        <v>28</v>
      </c>
      <c r="K5" s="13">
        <v>80.0</v>
      </c>
      <c r="L5" s="14"/>
      <c r="M5" s="14"/>
      <c r="N5" s="14"/>
      <c r="O5" s="14"/>
      <c r="P5" s="14"/>
      <c r="Q5" s="15">
        <f t="shared" si="2"/>
        <v>0.8</v>
      </c>
      <c r="R5" s="11" t="s">
        <v>37</v>
      </c>
      <c r="S5" s="9"/>
      <c r="T5" s="9"/>
      <c r="U5" s="9"/>
      <c r="V5" s="9"/>
      <c r="W5" s="9"/>
      <c r="X5" s="9"/>
      <c r="Y5" s="9"/>
    </row>
    <row r="6" hidden="1">
      <c r="A6" s="10">
        <v>45607.42395924768</v>
      </c>
      <c r="B6" s="10" t="str">
        <f t="shared" si="1"/>
        <v>Amanda HarrisQ2: September 2024 - November 20241ST2.D</v>
      </c>
      <c r="C6" s="11" t="s">
        <v>19</v>
      </c>
      <c r="D6" s="11" t="s">
        <v>20</v>
      </c>
      <c r="E6" s="11" t="s">
        <v>34</v>
      </c>
      <c r="F6" s="11" t="s">
        <v>38</v>
      </c>
      <c r="G6" s="9"/>
      <c r="H6" s="12"/>
      <c r="I6" s="11" t="s">
        <v>31</v>
      </c>
      <c r="J6" s="11" t="s">
        <v>32</v>
      </c>
      <c r="K6" s="13">
        <v>85.0</v>
      </c>
      <c r="L6" s="13">
        <v>95.0</v>
      </c>
      <c r="M6" s="14"/>
      <c r="N6" s="14"/>
      <c r="O6" s="14"/>
      <c r="P6" s="14"/>
      <c r="Q6" s="15">
        <f t="shared" si="2"/>
        <v>0.9</v>
      </c>
      <c r="R6" s="11" t="s">
        <v>39</v>
      </c>
      <c r="S6" s="9"/>
      <c r="T6" s="9"/>
      <c r="U6" s="9"/>
      <c r="V6" s="9"/>
      <c r="W6" s="9"/>
      <c r="X6" s="9"/>
      <c r="Y6" s="9"/>
    </row>
    <row r="7" hidden="1">
      <c r="A7" s="10">
        <v>45702.51146753472</v>
      </c>
      <c r="B7" s="10" t="str">
        <f t="shared" si="1"/>
        <v>Amanda HarrisQ3: December 2024 - February 20252ND1.C</v>
      </c>
      <c r="C7" s="11" t="s">
        <v>19</v>
      </c>
      <c r="D7" s="11" t="s">
        <v>20</v>
      </c>
      <c r="E7" s="11" t="s">
        <v>40</v>
      </c>
      <c r="F7" s="11" t="s">
        <v>41</v>
      </c>
      <c r="G7" s="9"/>
      <c r="H7" s="12"/>
      <c r="I7" s="11" t="s">
        <v>42</v>
      </c>
      <c r="J7" s="11" t="s">
        <v>28</v>
      </c>
      <c r="K7" s="13">
        <v>60.0</v>
      </c>
      <c r="L7" s="13">
        <v>50.0</v>
      </c>
      <c r="M7" s="13">
        <v>50.0</v>
      </c>
      <c r="N7" s="14"/>
      <c r="O7" s="14"/>
      <c r="P7" s="14"/>
      <c r="Q7" s="15">
        <f t="shared" si="2"/>
        <v>0.5333333333</v>
      </c>
      <c r="R7" s="11" t="s">
        <v>43</v>
      </c>
      <c r="S7" s="9"/>
      <c r="T7" s="9"/>
      <c r="U7" s="9"/>
      <c r="V7" s="9"/>
      <c r="W7" s="9"/>
      <c r="X7" s="9"/>
      <c r="Y7" s="9"/>
    </row>
    <row r="8" hidden="1">
      <c r="A8" s="10">
        <v>45702.50530483796</v>
      </c>
      <c r="B8" s="10" t="str">
        <f t="shared" si="1"/>
        <v>Amanda HarrisQ3: December 2024 - February 20251ST1.D</v>
      </c>
      <c r="C8" s="11" t="s">
        <v>19</v>
      </c>
      <c r="D8" s="11" t="s">
        <v>20</v>
      </c>
      <c r="E8" s="11" t="s">
        <v>40</v>
      </c>
      <c r="F8" s="11" t="s">
        <v>26</v>
      </c>
      <c r="G8" s="9"/>
      <c r="H8" s="12"/>
      <c r="I8" s="11" t="s">
        <v>23</v>
      </c>
      <c r="J8" s="11" t="s">
        <v>32</v>
      </c>
      <c r="K8" s="13">
        <v>93.0</v>
      </c>
      <c r="L8" s="13">
        <v>0.0</v>
      </c>
      <c r="M8" s="14"/>
      <c r="N8" s="14"/>
      <c r="O8" s="14"/>
      <c r="P8" s="14"/>
      <c r="Q8" s="15">
        <f t="shared" si="2"/>
        <v>0.465</v>
      </c>
      <c r="R8" s="11" t="s">
        <v>44</v>
      </c>
      <c r="S8" s="9"/>
      <c r="T8" s="9"/>
      <c r="U8" s="9"/>
      <c r="V8" s="9"/>
      <c r="W8" s="9"/>
      <c r="X8" s="9"/>
      <c r="Y8" s="9"/>
    </row>
    <row r="9" hidden="1">
      <c r="A9" s="10">
        <v>45797.37548898148</v>
      </c>
      <c r="B9" s="10" t="str">
        <f t="shared" si="1"/>
        <v>Amanda HarrisQ4: March 2025 - May 20251ST1.D</v>
      </c>
      <c r="C9" s="11" t="s">
        <v>19</v>
      </c>
      <c r="D9" s="11" t="s">
        <v>20</v>
      </c>
      <c r="E9" s="11" t="s">
        <v>45</v>
      </c>
      <c r="F9" s="11" t="s">
        <v>26</v>
      </c>
      <c r="G9" s="9"/>
      <c r="H9" s="12"/>
      <c r="I9" s="16" t="s">
        <v>23</v>
      </c>
      <c r="J9" s="11" t="s">
        <v>32</v>
      </c>
      <c r="K9" s="11">
        <v>25.0</v>
      </c>
      <c r="L9" s="11">
        <v>100.0</v>
      </c>
      <c r="M9" s="9"/>
      <c r="N9" s="9"/>
      <c r="O9" s="9"/>
      <c r="P9" s="9"/>
      <c r="Q9" s="11">
        <v>63.0</v>
      </c>
      <c r="R9" s="11" t="s">
        <v>46</v>
      </c>
      <c r="S9" s="9"/>
      <c r="T9" s="9"/>
      <c r="U9" s="9"/>
      <c r="V9" s="9"/>
      <c r="W9" s="9"/>
      <c r="X9" s="9"/>
      <c r="Y9" s="9"/>
    </row>
    <row r="10" hidden="1">
      <c r="A10" s="10">
        <v>45797.37862430555</v>
      </c>
      <c r="B10" s="10" t="str">
        <f t="shared" si="1"/>
        <v>Amanda HarrisQ4: March 2025 - May 20252ND2.D, 3.A</v>
      </c>
      <c r="C10" s="11" t="s">
        <v>19</v>
      </c>
      <c r="D10" s="11" t="s">
        <v>20</v>
      </c>
      <c r="E10" s="11" t="s">
        <v>45</v>
      </c>
      <c r="F10" s="11" t="s">
        <v>26</v>
      </c>
      <c r="G10" s="9"/>
      <c r="H10" s="12"/>
      <c r="I10" s="16" t="s">
        <v>47</v>
      </c>
      <c r="J10" s="11" t="s">
        <v>28</v>
      </c>
      <c r="K10" s="11">
        <v>60.0</v>
      </c>
      <c r="L10" s="11">
        <v>15.0</v>
      </c>
      <c r="M10" s="9"/>
      <c r="N10" s="9"/>
      <c r="O10" s="9"/>
      <c r="P10" s="9"/>
      <c r="Q10" s="11">
        <v>38.0</v>
      </c>
      <c r="R10" s="11" t="s">
        <v>48</v>
      </c>
      <c r="S10" s="9"/>
      <c r="T10" s="9"/>
      <c r="U10" s="9"/>
      <c r="V10" s="9"/>
      <c r="W10" s="9"/>
      <c r="X10" s="9"/>
      <c r="Y10" s="9"/>
    </row>
    <row r="11" hidden="1">
      <c r="A11" s="10">
        <v>45705.55594261574</v>
      </c>
      <c r="B11" s="10" t="str">
        <f t="shared" si="1"/>
        <v>Ashley GotcherQ3: December 2024 - February 20251ST1.D</v>
      </c>
      <c r="C11" s="11" t="s">
        <v>49</v>
      </c>
      <c r="D11" s="11" t="s">
        <v>50</v>
      </c>
      <c r="E11" s="11" t="s">
        <v>40</v>
      </c>
      <c r="F11" s="11" t="s">
        <v>51</v>
      </c>
      <c r="G11" s="9"/>
      <c r="H11" s="12"/>
      <c r="I11" s="11" t="s">
        <v>23</v>
      </c>
      <c r="J11" s="11" t="s">
        <v>32</v>
      </c>
      <c r="K11" s="13">
        <v>100.0</v>
      </c>
      <c r="L11" s="14"/>
      <c r="M11" s="14"/>
      <c r="N11" s="14"/>
      <c r="O11" s="14"/>
      <c r="P11" s="14"/>
      <c r="Q11" s="15">
        <f>AVERAGE(K11:P11)/100</f>
        <v>1</v>
      </c>
      <c r="R11" s="11" t="s">
        <v>52</v>
      </c>
      <c r="S11" s="9"/>
      <c r="T11" s="9"/>
      <c r="U11" s="9"/>
      <c r="V11" s="9"/>
      <c r="W11" s="9"/>
      <c r="X11" s="9"/>
      <c r="Y11" s="9"/>
    </row>
    <row r="12" hidden="1">
      <c r="A12" s="10">
        <v>45797.529226203704</v>
      </c>
      <c r="B12" s="10" t="str">
        <f t="shared" si="1"/>
        <v>Ashley GotcherQ4: March 2025 - May 20251ST1.C</v>
      </c>
      <c r="C12" s="11" t="s">
        <v>49</v>
      </c>
      <c r="D12" s="11" t="s">
        <v>50</v>
      </c>
      <c r="E12" s="11" t="s">
        <v>45</v>
      </c>
      <c r="F12" s="11" t="s">
        <v>51</v>
      </c>
      <c r="G12" s="9"/>
      <c r="H12" s="12"/>
      <c r="I12" s="11" t="s">
        <v>42</v>
      </c>
      <c r="J12" s="11" t="s">
        <v>32</v>
      </c>
      <c r="K12" s="11">
        <v>100.0</v>
      </c>
      <c r="L12" s="9"/>
      <c r="M12" s="9"/>
      <c r="N12" s="9"/>
      <c r="O12" s="9"/>
      <c r="P12" s="9"/>
      <c r="Q12" s="11">
        <v>100.0</v>
      </c>
      <c r="R12" s="11" t="s">
        <v>53</v>
      </c>
      <c r="S12" s="9"/>
      <c r="T12" s="9"/>
      <c r="U12" s="9"/>
      <c r="V12" s="9"/>
      <c r="W12" s="9"/>
      <c r="X12" s="9"/>
      <c r="Y12" s="9"/>
    </row>
    <row r="13" hidden="1">
      <c r="A13" s="10">
        <v>45523.623647546294</v>
      </c>
      <c r="B13" s="10" t="str">
        <f t="shared" si="1"/>
        <v>Ashley GotcherQ1: June 2024 - August 20241ST1.D</v>
      </c>
      <c r="C13" s="11" t="s">
        <v>49</v>
      </c>
      <c r="D13" s="11" t="s">
        <v>50</v>
      </c>
      <c r="E13" s="11" t="s">
        <v>21</v>
      </c>
      <c r="F13" s="11" t="s">
        <v>54</v>
      </c>
      <c r="G13" s="9"/>
      <c r="H13" s="12"/>
      <c r="I13" s="11" t="s">
        <v>23</v>
      </c>
      <c r="J13" s="11" t="s">
        <v>32</v>
      </c>
      <c r="K13" s="13">
        <v>25.0</v>
      </c>
      <c r="L13" s="14"/>
      <c r="M13" s="14"/>
      <c r="N13" s="14"/>
      <c r="O13" s="14"/>
      <c r="P13" s="14"/>
      <c r="Q13" s="15">
        <f t="shared" ref="Q13:Q25" si="3">AVERAGE(K13:P13)/100</f>
        <v>0.25</v>
      </c>
      <c r="R13" s="11" t="s">
        <v>55</v>
      </c>
      <c r="S13" s="9"/>
      <c r="T13" s="9"/>
      <c r="U13" s="9"/>
      <c r="V13" s="9"/>
      <c r="W13" s="9"/>
      <c r="X13" s="9"/>
      <c r="Y13" s="9"/>
    </row>
    <row r="14" hidden="1">
      <c r="A14" s="10">
        <v>45523.62751261574</v>
      </c>
      <c r="B14" s="10" t="str">
        <f t="shared" si="1"/>
        <v>Ashley GotcherQ1: June 2024 - August 20245TH1.A</v>
      </c>
      <c r="C14" s="11" t="s">
        <v>49</v>
      </c>
      <c r="D14" s="11" t="s">
        <v>50</v>
      </c>
      <c r="E14" s="11" t="s">
        <v>21</v>
      </c>
      <c r="F14" s="11" t="s">
        <v>54</v>
      </c>
      <c r="G14" s="9"/>
      <c r="H14" s="12"/>
      <c r="I14" s="11" t="s">
        <v>56</v>
      </c>
      <c r="J14" s="11" t="s">
        <v>57</v>
      </c>
      <c r="K14" s="13">
        <v>75.0</v>
      </c>
      <c r="L14" s="13">
        <v>25.0</v>
      </c>
      <c r="M14" s="14"/>
      <c r="N14" s="14"/>
      <c r="O14" s="14"/>
      <c r="P14" s="14"/>
      <c r="Q14" s="15">
        <f t="shared" si="3"/>
        <v>0.5</v>
      </c>
      <c r="R14" s="11" t="s">
        <v>58</v>
      </c>
      <c r="S14" s="9"/>
      <c r="T14" s="9"/>
      <c r="U14" s="9"/>
      <c r="V14" s="9"/>
      <c r="W14" s="9"/>
      <c r="X14" s="9"/>
      <c r="Y14" s="9"/>
    </row>
    <row r="15" hidden="1">
      <c r="A15" s="10">
        <v>45523.62989140046</v>
      </c>
      <c r="B15" s="10" t="str">
        <f t="shared" si="1"/>
        <v>Ashley GotcherQ1: June 2024 - August 20244TH2.A</v>
      </c>
      <c r="C15" s="11" t="s">
        <v>49</v>
      </c>
      <c r="D15" s="11" t="s">
        <v>50</v>
      </c>
      <c r="E15" s="11" t="s">
        <v>21</v>
      </c>
      <c r="F15" s="11" t="s">
        <v>54</v>
      </c>
      <c r="G15" s="9"/>
      <c r="H15" s="12"/>
      <c r="I15" s="11" t="s">
        <v>36</v>
      </c>
      <c r="J15" s="11" t="s">
        <v>59</v>
      </c>
      <c r="K15" s="13">
        <v>80.0</v>
      </c>
      <c r="L15" s="14"/>
      <c r="M15" s="14"/>
      <c r="N15" s="14"/>
      <c r="O15" s="14"/>
      <c r="P15" s="14"/>
      <c r="Q15" s="15">
        <f t="shared" si="3"/>
        <v>0.8</v>
      </c>
      <c r="R15" s="11" t="s">
        <v>60</v>
      </c>
      <c r="S15" s="9"/>
      <c r="T15" s="9"/>
      <c r="U15" s="9"/>
      <c r="V15" s="9"/>
      <c r="W15" s="9"/>
      <c r="X15" s="9"/>
      <c r="Y15" s="9"/>
    </row>
    <row r="16" hidden="1">
      <c r="A16" s="10">
        <v>45523.63123759259</v>
      </c>
      <c r="B16" s="10" t="str">
        <f t="shared" si="1"/>
        <v>Ashley GotcherQ1: June 2024 - August 20246TH3.C</v>
      </c>
      <c r="C16" s="11" t="s">
        <v>49</v>
      </c>
      <c r="D16" s="11" t="s">
        <v>50</v>
      </c>
      <c r="E16" s="11" t="s">
        <v>21</v>
      </c>
      <c r="F16" s="11" t="s">
        <v>54</v>
      </c>
      <c r="G16" s="9"/>
      <c r="H16" s="12"/>
      <c r="I16" s="11" t="s">
        <v>61</v>
      </c>
      <c r="J16" s="11" t="s">
        <v>62</v>
      </c>
      <c r="K16" s="13">
        <v>100.0</v>
      </c>
      <c r="L16" s="14"/>
      <c r="M16" s="14"/>
      <c r="N16" s="14"/>
      <c r="O16" s="14"/>
      <c r="P16" s="14"/>
      <c r="Q16" s="15">
        <f t="shared" si="3"/>
        <v>1</v>
      </c>
      <c r="R16" s="11" t="s">
        <v>63</v>
      </c>
      <c r="S16" s="9"/>
      <c r="T16" s="9"/>
      <c r="U16" s="9"/>
      <c r="V16" s="9"/>
      <c r="W16" s="9"/>
      <c r="X16" s="9"/>
      <c r="Y16" s="9"/>
    </row>
    <row r="17" hidden="1">
      <c r="A17" s="10">
        <v>45607.445195486114</v>
      </c>
      <c r="B17" s="10" t="str">
        <f t="shared" si="1"/>
        <v>Ashley GotcherQ2: September 2024 - November 20242ND1.D</v>
      </c>
      <c r="C17" s="11" t="s">
        <v>49</v>
      </c>
      <c r="D17" s="11" t="s">
        <v>50</v>
      </c>
      <c r="E17" s="11" t="s">
        <v>34</v>
      </c>
      <c r="F17" s="11" t="s">
        <v>54</v>
      </c>
      <c r="G17" s="9"/>
      <c r="H17" s="12"/>
      <c r="I17" s="11" t="s">
        <v>23</v>
      </c>
      <c r="J17" s="11" t="s">
        <v>28</v>
      </c>
      <c r="K17" s="13">
        <v>100.0</v>
      </c>
      <c r="L17" s="14"/>
      <c r="M17" s="14"/>
      <c r="N17" s="14"/>
      <c r="O17" s="14"/>
      <c r="P17" s="14"/>
      <c r="Q17" s="15">
        <f t="shared" si="3"/>
        <v>1</v>
      </c>
      <c r="R17" s="11" t="s">
        <v>64</v>
      </c>
      <c r="S17" s="9"/>
      <c r="T17" s="9"/>
      <c r="U17" s="9"/>
      <c r="V17" s="9"/>
      <c r="W17" s="9"/>
      <c r="X17" s="9"/>
      <c r="Y17" s="9"/>
    </row>
    <row r="18" hidden="1">
      <c r="A18" s="10">
        <v>45607.456361944445</v>
      </c>
      <c r="B18" s="10" t="str">
        <f t="shared" si="1"/>
        <v>Ashley GotcherQ2: September 2024 - November 20245TH2.A</v>
      </c>
      <c r="C18" s="11" t="s">
        <v>49</v>
      </c>
      <c r="D18" s="11" t="s">
        <v>50</v>
      </c>
      <c r="E18" s="11" t="s">
        <v>34</v>
      </c>
      <c r="F18" s="11" t="s">
        <v>54</v>
      </c>
      <c r="G18" s="9"/>
      <c r="H18" s="12"/>
      <c r="I18" s="11" t="s">
        <v>36</v>
      </c>
      <c r="J18" s="11" t="s">
        <v>57</v>
      </c>
      <c r="K18" s="13">
        <v>70.0</v>
      </c>
      <c r="L18" s="13">
        <v>100.0</v>
      </c>
      <c r="M18" s="14"/>
      <c r="N18" s="14"/>
      <c r="O18" s="14"/>
      <c r="P18" s="14"/>
      <c r="Q18" s="15">
        <f t="shared" si="3"/>
        <v>0.85</v>
      </c>
      <c r="R18" s="11" t="s">
        <v>65</v>
      </c>
      <c r="S18" s="9"/>
      <c r="T18" s="9"/>
      <c r="U18" s="9"/>
      <c r="V18" s="9"/>
      <c r="W18" s="9"/>
      <c r="X18" s="9"/>
      <c r="Y18" s="9"/>
    </row>
    <row r="19" hidden="1">
      <c r="A19" s="10">
        <v>45607.45719265046</v>
      </c>
      <c r="B19" s="10" t="str">
        <f t="shared" si="1"/>
        <v>Ashley GotcherQ2: September 2024 - November 20246TH2.D</v>
      </c>
      <c r="C19" s="11" t="s">
        <v>49</v>
      </c>
      <c r="D19" s="11" t="s">
        <v>50</v>
      </c>
      <c r="E19" s="11" t="s">
        <v>34</v>
      </c>
      <c r="F19" s="11" t="s">
        <v>54</v>
      </c>
      <c r="G19" s="9"/>
      <c r="H19" s="12"/>
      <c r="I19" s="11" t="s">
        <v>31</v>
      </c>
      <c r="J19" s="11" t="s">
        <v>62</v>
      </c>
      <c r="K19" s="13">
        <v>100.0</v>
      </c>
      <c r="L19" s="14"/>
      <c r="M19" s="14"/>
      <c r="N19" s="14"/>
      <c r="O19" s="14"/>
      <c r="P19" s="14"/>
      <c r="Q19" s="15">
        <f t="shared" si="3"/>
        <v>1</v>
      </c>
      <c r="R19" s="11" t="s">
        <v>66</v>
      </c>
      <c r="S19" s="9"/>
      <c r="T19" s="9"/>
      <c r="U19" s="9"/>
      <c r="V19" s="9"/>
      <c r="W19" s="9"/>
      <c r="X19" s="9"/>
      <c r="Y19" s="9"/>
    </row>
    <row r="20" hidden="1">
      <c r="A20" s="10">
        <v>45607.45896467593</v>
      </c>
      <c r="B20" s="10" t="str">
        <f t="shared" si="1"/>
        <v>Ashley GotcherQ2: September 2024 - November 20247TH2.C</v>
      </c>
      <c r="C20" s="11" t="s">
        <v>49</v>
      </c>
      <c r="D20" s="11" t="s">
        <v>50</v>
      </c>
      <c r="E20" s="11" t="s">
        <v>34</v>
      </c>
      <c r="F20" s="11" t="s">
        <v>54</v>
      </c>
      <c r="G20" s="9"/>
      <c r="H20" s="12"/>
      <c r="I20" s="11" t="s">
        <v>27</v>
      </c>
      <c r="J20" s="11" t="s">
        <v>67</v>
      </c>
      <c r="K20" s="13">
        <v>50.0</v>
      </c>
      <c r="L20" s="14"/>
      <c r="M20" s="14"/>
      <c r="N20" s="14"/>
      <c r="O20" s="14"/>
      <c r="P20" s="14"/>
      <c r="Q20" s="15">
        <f t="shared" si="3"/>
        <v>0.5</v>
      </c>
      <c r="R20" s="11" t="s">
        <v>68</v>
      </c>
      <c r="S20" s="9"/>
      <c r="T20" s="9"/>
      <c r="U20" s="9"/>
      <c r="V20" s="9"/>
      <c r="W20" s="9"/>
      <c r="X20" s="9"/>
      <c r="Y20" s="9"/>
    </row>
    <row r="21" hidden="1">
      <c r="A21" s="10">
        <v>45607.441733263884</v>
      </c>
      <c r="B21" s="10" t="str">
        <f t="shared" si="1"/>
        <v>Ashley GotcherQ2: September 2024 - November 20241ST1.A</v>
      </c>
      <c r="C21" s="11" t="s">
        <v>49</v>
      </c>
      <c r="D21" s="11" t="s">
        <v>50</v>
      </c>
      <c r="E21" s="11" t="s">
        <v>34</v>
      </c>
      <c r="F21" s="11" t="s">
        <v>69</v>
      </c>
      <c r="G21" s="11" t="s">
        <v>70</v>
      </c>
      <c r="H21" s="12"/>
      <c r="I21" s="11" t="s">
        <v>56</v>
      </c>
      <c r="J21" s="17" t="s">
        <v>32</v>
      </c>
      <c r="K21" s="13">
        <v>100.0</v>
      </c>
      <c r="L21" s="14"/>
      <c r="M21" s="14"/>
      <c r="N21" s="14"/>
      <c r="O21" s="14"/>
      <c r="P21" s="14"/>
      <c r="Q21" s="15">
        <f t="shared" si="3"/>
        <v>1</v>
      </c>
      <c r="R21" s="11" t="s">
        <v>71</v>
      </c>
      <c r="S21" s="9"/>
      <c r="T21" s="9"/>
      <c r="U21" s="9"/>
      <c r="V21" s="9"/>
      <c r="W21" s="9"/>
      <c r="X21" s="9"/>
      <c r="Y21" s="9"/>
    </row>
    <row r="22" hidden="1">
      <c r="A22" s="10">
        <v>45607.448813703704</v>
      </c>
      <c r="B22" s="10" t="str">
        <f t="shared" si="1"/>
        <v>Ashley GotcherQ2: September 2024 - November 20243RD3.D</v>
      </c>
      <c r="C22" s="11" t="s">
        <v>49</v>
      </c>
      <c r="D22" s="11" t="s">
        <v>50</v>
      </c>
      <c r="E22" s="11" t="s">
        <v>34</v>
      </c>
      <c r="F22" s="11" t="s">
        <v>69</v>
      </c>
      <c r="G22" s="11" t="s">
        <v>72</v>
      </c>
      <c r="H22" s="12"/>
      <c r="I22" s="11" t="s">
        <v>73</v>
      </c>
      <c r="J22" s="11" t="s">
        <v>24</v>
      </c>
      <c r="K22" s="13">
        <v>60.0</v>
      </c>
      <c r="L22" s="14"/>
      <c r="M22" s="14"/>
      <c r="N22" s="14"/>
      <c r="O22" s="14"/>
      <c r="P22" s="14"/>
      <c r="Q22" s="15">
        <f t="shared" si="3"/>
        <v>0.6</v>
      </c>
      <c r="R22" s="11" t="s">
        <v>74</v>
      </c>
      <c r="S22" s="9"/>
      <c r="T22" s="9"/>
      <c r="U22" s="9"/>
      <c r="V22" s="9"/>
      <c r="W22" s="9"/>
      <c r="X22" s="9"/>
      <c r="Y22" s="9"/>
    </row>
    <row r="23" hidden="1">
      <c r="A23" s="10">
        <v>45607.455151064816</v>
      </c>
      <c r="B23" s="10" t="str">
        <f t="shared" si="1"/>
        <v>Ashley GotcherQ2: September 2024 - November 20244TH2.D</v>
      </c>
      <c r="C23" s="11" t="s">
        <v>49</v>
      </c>
      <c r="D23" s="11" t="s">
        <v>50</v>
      </c>
      <c r="E23" s="11" t="s">
        <v>34</v>
      </c>
      <c r="F23" s="11" t="s">
        <v>69</v>
      </c>
      <c r="G23" s="11" t="s">
        <v>75</v>
      </c>
      <c r="H23" s="12"/>
      <c r="I23" s="11" t="s">
        <v>31</v>
      </c>
      <c r="J23" s="11" t="s">
        <v>59</v>
      </c>
      <c r="K23" s="13">
        <v>100.0</v>
      </c>
      <c r="L23" s="14"/>
      <c r="M23" s="14"/>
      <c r="N23" s="14"/>
      <c r="O23" s="14"/>
      <c r="P23" s="14"/>
      <c r="Q23" s="15">
        <f t="shared" si="3"/>
        <v>1</v>
      </c>
      <c r="R23" s="11" t="s">
        <v>76</v>
      </c>
      <c r="S23" s="9"/>
      <c r="T23" s="9"/>
      <c r="U23" s="9"/>
      <c r="V23" s="9"/>
      <c r="W23" s="9"/>
      <c r="X23" s="9"/>
      <c r="Y23" s="9"/>
    </row>
    <row r="24" hidden="1">
      <c r="A24" s="10">
        <v>45705.56105215278</v>
      </c>
      <c r="B24" s="10" t="str">
        <f t="shared" si="1"/>
        <v>Ashley GotcherQ3: December 2024 - February 20251ST3.C</v>
      </c>
      <c r="C24" s="11" t="s">
        <v>49</v>
      </c>
      <c r="D24" s="11" t="s">
        <v>50</v>
      </c>
      <c r="E24" s="11" t="s">
        <v>40</v>
      </c>
      <c r="F24" s="11" t="s">
        <v>77</v>
      </c>
      <c r="G24" s="9"/>
      <c r="H24" s="12"/>
      <c r="I24" s="11" t="s">
        <v>61</v>
      </c>
      <c r="J24" s="11" t="s">
        <v>32</v>
      </c>
      <c r="K24" s="13">
        <v>60.0</v>
      </c>
      <c r="L24" s="13">
        <v>0.0</v>
      </c>
      <c r="M24" s="14"/>
      <c r="N24" s="14"/>
      <c r="O24" s="14"/>
      <c r="P24" s="14"/>
      <c r="Q24" s="15">
        <f t="shared" si="3"/>
        <v>0.3</v>
      </c>
      <c r="R24" s="11" t="s">
        <v>78</v>
      </c>
      <c r="S24" s="9"/>
      <c r="T24" s="9"/>
      <c r="U24" s="9"/>
      <c r="V24" s="9"/>
      <c r="W24" s="9"/>
      <c r="X24" s="9"/>
      <c r="Y24" s="9"/>
    </row>
    <row r="25" hidden="1">
      <c r="A25" s="10">
        <v>45705.56233184028</v>
      </c>
      <c r="B25" s="10" t="str">
        <f t="shared" si="1"/>
        <v>Ashley GotcherQ3: December 2024 - February 20252ND2.C</v>
      </c>
      <c r="C25" s="11" t="s">
        <v>49</v>
      </c>
      <c r="D25" s="11" t="s">
        <v>50</v>
      </c>
      <c r="E25" s="11" t="s">
        <v>40</v>
      </c>
      <c r="F25" s="11" t="s">
        <v>77</v>
      </c>
      <c r="G25" s="9"/>
      <c r="H25" s="12"/>
      <c r="I25" s="11" t="s">
        <v>27</v>
      </c>
      <c r="J25" s="11" t="s">
        <v>28</v>
      </c>
      <c r="K25" s="13">
        <v>100.0</v>
      </c>
      <c r="L25" s="13">
        <v>0.0</v>
      </c>
      <c r="M25" s="14"/>
      <c r="N25" s="14"/>
      <c r="O25" s="14"/>
      <c r="P25" s="14"/>
      <c r="Q25" s="15">
        <f t="shared" si="3"/>
        <v>0.5</v>
      </c>
      <c r="R25" s="11" t="s">
        <v>79</v>
      </c>
      <c r="S25" s="9"/>
      <c r="T25" s="9"/>
      <c r="U25" s="9"/>
      <c r="V25" s="9"/>
      <c r="W25" s="9"/>
      <c r="X25" s="9"/>
      <c r="Y25" s="9"/>
    </row>
    <row r="26" hidden="1">
      <c r="A26" s="10">
        <v>45797.531797013886</v>
      </c>
      <c r="B26" s="10" t="str">
        <f t="shared" si="1"/>
        <v>Ashley GotcherQ4: March 2025 - May 20251ST2.A</v>
      </c>
      <c r="C26" s="11" t="s">
        <v>49</v>
      </c>
      <c r="D26" s="11" t="s">
        <v>50</v>
      </c>
      <c r="E26" s="11" t="s">
        <v>45</v>
      </c>
      <c r="F26" s="11" t="s">
        <v>77</v>
      </c>
      <c r="G26" s="9"/>
      <c r="H26" s="12"/>
      <c r="I26" s="11" t="s">
        <v>36</v>
      </c>
      <c r="J26" s="11" t="s">
        <v>32</v>
      </c>
      <c r="K26" s="11">
        <v>100.0</v>
      </c>
      <c r="L26" s="9"/>
      <c r="M26" s="9"/>
      <c r="N26" s="9"/>
      <c r="O26" s="9"/>
      <c r="P26" s="9"/>
      <c r="Q26" s="11">
        <v>100.0</v>
      </c>
      <c r="R26" s="11" t="s">
        <v>80</v>
      </c>
      <c r="S26" s="9"/>
      <c r="T26" s="9"/>
      <c r="U26" s="9"/>
      <c r="V26" s="9"/>
      <c r="W26" s="9"/>
      <c r="X26" s="9"/>
      <c r="Y26" s="9"/>
    </row>
    <row r="27" hidden="1">
      <c r="A27" s="10">
        <v>45797.53295094907</v>
      </c>
      <c r="B27" s="10" t="str">
        <f t="shared" si="1"/>
        <v>Ashley GotcherQ4: March 2025 - May 20252ND2.D</v>
      </c>
      <c r="C27" s="11" t="s">
        <v>49</v>
      </c>
      <c r="D27" s="11" t="s">
        <v>50</v>
      </c>
      <c r="E27" s="11" t="s">
        <v>45</v>
      </c>
      <c r="F27" s="11" t="s">
        <v>77</v>
      </c>
      <c r="G27" s="9"/>
      <c r="H27" s="12"/>
      <c r="I27" s="11" t="s">
        <v>31</v>
      </c>
      <c r="J27" s="11" t="s">
        <v>28</v>
      </c>
      <c r="K27" s="11">
        <v>100.0</v>
      </c>
      <c r="L27" s="9"/>
      <c r="M27" s="9"/>
      <c r="N27" s="9"/>
      <c r="O27" s="9"/>
      <c r="P27" s="9"/>
      <c r="Q27" s="11">
        <v>100.0</v>
      </c>
      <c r="R27" s="11" t="s">
        <v>81</v>
      </c>
      <c r="S27" s="9"/>
      <c r="T27" s="9"/>
      <c r="U27" s="9"/>
      <c r="V27" s="9"/>
      <c r="W27" s="9"/>
      <c r="X27" s="9"/>
      <c r="Y27" s="9"/>
    </row>
    <row r="28" hidden="1">
      <c r="A28" s="10">
        <v>45705.55783997686</v>
      </c>
      <c r="B28" s="10" t="str">
        <f t="shared" si="1"/>
        <v>Ashley GotcherQ3: December 2024 - February 20251ST2.B</v>
      </c>
      <c r="C28" s="11" t="s">
        <v>49</v>
      </c>
      <c r="D28" s="11" t="s">
        <v>50</v>
      </c>
      <c r="E28" s="11" t="s">
        <v>40</v>
      </c>
      <c r="F28" s="11" t="s">
        <v>82</v>
      </c>
      <c r="G28" s="9"/>
      <c r="H28" s="12"/>
      <c r="I28" s="11" t="s">
        <v>83</v>
      </c>
      <c r="J28" s="11" t="s">
        <v>32</v>
      </c>
      <c r="K28" s="13">
        <v>100.0</v>
      </c>
      <c r="L28" s="14"/>
      <c r="M28" s="14"/>
      <c r="N28" s="14"/>
      <c r="O28" s="14"/>
      <c r="P28" s="14"/>
      <c r="Q28" s="15">
        <f t="shared" ref="Q28:Q29" si="4">AVERAGE(K28:P28)/100</f>
        <v>1</v>
      </c>
      <c r="R28" s="11" t="s">
        <v>84</v>
      </c>
      <c r="S28" s="9"/>
      <c r="T28" s="9"/>
      <c r="U28" s="9"/>
      <c r="V28" s="9"/>
      <c r="W28" s="9"/>
      <c r="X28" s="9"/>
      <c r="Y28" s="9"/>
    </row>
    <row r="29" hidden="1">
      <c r="A29" s="10">
        <v>45705.558761238426</v>
      </c>
      <c r="B29" s="10" t="str">
        <f t="shared" si="1"/>
        <v>Ashley GotcherQ3: December 2024 - February 20252ND2.A</v>
      </c>
      <c r="C29" s="11" t="s">
        <v>49</v>
      </c>
      <c r="D29" s="11" t="s">
        <v>50</v>
      </c>
      <c r="E29" s="11" t="s">
        <v>40</v>
      </c>
      <c r="F29" s="11" t="s">
        <v>82</v>
      </c>
      <c r="G29" s="9"/>
      <c r="H29" s="12"/>
      <c r="I29" s="11" t="s">
        <v>36</v>
      </c>
      <c r="J29" s="11" t="s">
        <v>28</v>
      </c>
      <c r="K29" s="13">
        <v>30.0</v>
      </c>
      <c r="L29" s="14"/>
      <c r="M29" s="14"/>
      <c r="N29" s="14"/>
      <c r="O29" s="14"/>
      <c r="P29" s="14"/>
      <c r="Q29" s="15">
        <f t="shared" si="4"/>
        <v>0.3</v>
      </c>
      <c r="R29" s="11" t="s">
        <v>85</v>
      </c>
      <c r="S29" s="9"/>
      <c r="T29" s="9"/>
      <c r="U29" s="9"/>
      <c r="V29" s="9"/>
      <c r="W29" s="9"/>
      <c r="X29" s="9"/>
      <c r="Y29" s="9"/>
    </row>
    <row r="30" hidden="1">
      <c r="A30" s="10">
        <v>45797.53043917824</v>
      </c>
      <c r="B30" s="10" t="str">
        <f t="shared" si="1"/>
        <v>Ashley GotcherQ4: March 2025 - May 20251ST2.D</v>
      </c>
      <c r="C30" s="11" t="s">
        <v>49</v>
      </c>
      <c r="D30" s="11" t="s">
        <v>50</v>
      </c>
      <c r="E30" s="11" t="s">
        <v>45</v>
      </c>
      <c r="F30" s="11" t="s">
        <v>82</v>
      </c>
      <c r="G30" s="9"/>
      <c r="H30" s="12"/>
      <c r="I30" s="11" t="s">
        <v>31</v>
      </c>
      <c r="J30" s="11" t="s">
        <v>32</v>
      </c>
      <c r="K30" s="11">
        <v>100.0</v>
      </c>
      <c r="L30" s="9"/>
      <c r="M30" s="9"/>
      <c r="N30" s="9"/>
      <c r="O30" s="9"/>
      <c r="P30" s="9"/>
      <c r="Q30" s="11">
        <v>100.0</v>
      </c>
      <c r="R30" s="11" t="s">
        <v>86</v>
      </c>
      <c r="S30" s="9"/>
      <c r="T30" s="9"/>
      <c r="U30" s="9"/>
      <c r="V30" s="9"/>
      <c r="W30" s="9"/>
      <c r="X30" s="9"/>
      <c r="Y30" s="9"/>
    </row>
    <row r="31" hidden="1">
      <c r="A31" s="10">
        <v>45524.11460137731</v>
      </c>
      <c r="B31" s="10" t="str">
        <f t="shared" si="1"/>
        <v>Blake CarlsonQ1: June 2024 - August 20244TH1.D</v>
      </c>
      <c r="C31" s="11" t="s">
        <v>87</v>
      </c>
      <c r="D31" s="11" t="s">
        <v>88</v>
      </c>
      <c r="E31" s="11" t="s">
        <v>21</v>
      </c>
      <c r="F31" s="11" t="s">
        <v>89</v>
      </c>
      <c r="G31" s="11" t="s">
        <v>90</v>
      </c>
      <c r="H31" s="12"/>
      <c r="I31" s="11" t="s">
        <v>23</v>
      </c>
      <c r="J31" s="11" t="s">
        <v>59</v>
      </c>
      <c r="K31" s="13">
        <v>0.0</v>
      </c>
      <c r="L31" s="14"/>
      <c r="M31" s="14"/>
      <c r="N31" s="14"/>
      <c r="O31" s="14"/>
      <c r="P31" s="14"/>
      <c r="Q31" s="15">
        <f t="shared" ref="Q31:Q36" si="5">AVERAGE(K31:P31)/100</f>
        <v>0</v>
      </c>
      <c r="R31" s="11" t="s">
        <v>91</v>
      </c>
      <c r="S31" s="9"/>
      <c r="T31" s="9"/>
      <c r="U31" s="9"/>
      <c r="V31" s="9"/>
      <c r="W31" s="9"/>
      <c r="X31" s="9"/>
      <c r="Y31" s="9"/>
    </row>
    <row r="32" hidden="1">
      <c r="A32" s="10">
        <v>45524.112192245375</v>
      </c>
      <c r="B32" s="10" t="str">
        <f t="shared" si="1"/>
        <v>Blake CarlsonQ1: June 2024 - August 20242ND2.D</v>
      </c>
      <c r="C32" s="11" t="s">
        <v>87</v>
      </c>
      <c r="D32" s="11" t="s">
        <v>88</v>
      </c>
      <c r="E32" s="11" t="s">
        <v>21</v>
      </c>
      <c r="F32" s="11" t="s">
        <v>89</v>
      </c>
      <c r="G32" s="11" t="s">
        <v>92</v>
      </c>
      <c r="H32" s="12"/>
      <c r="I32" s="11" t="s">
        <v>31</v>
      </c>
      <c r="J32" s="11" t="s">
        <v>28</v>
      </c>
      <c r="K32" s="13">
        <v>85.0</v>
      </c>
      <c r="L32" s="14"/>
      <c r="M32" s="14"/>
      <c r="N32" s="14"/>
      <c r="O32" s="14"/>
      <c r="P32" s="14"/>
      <c r="Q32" s="15">
        <f t="shared" si="5"/>
        <v>0.85</v>
      </c>
      <c r="R32" s="11" t="s">
        <v>93</v>
      </c>
      <c r="S32" s="9"/>
      <c r="T32" s="9"/>
      <c r="U32" s="9"/>
      <c r="V32" s="9"/>
      <c r="W32" s="9"/>
      <c r="X32" s="9"/>
      <c r="Y32" s="9"/>
    </row>
    <row r="33" hidden="1">
      <c r="A33" s="10">
        <v>45608.41064760416</v>
      </c>
      <c r="B33" s="10" t="str">
        <f t="shared" si="1"/>
        <v>Blake CarlsonQ2: September 2024 - November 20243RD3.A</v>
      </c>
      <c r="C33" s="11" t="s">
        <v>87</v>
      </c>
      <c r="D33" s="11" t="s">
        <v>88</v>
      </c>
      <c r="E33" s="11" t="s">
        <v>34</v>
      </c>
      <c r="F33" s="11" t="s">
        <v>89</v>
      </c>
      <c r="G33" s="11" t="s">
        <v>90</v>
      </c>
      <c r="H33" s="12"/>
      <c r="I33" s="11" t="s">
        <v>94</v>
      </c>
      <c r="J33" s="11" t="s">
        <v>24</v>
      </c>
      <c r="K33" s="13">
        <v>100.0</v>
      </c>
      <c r="L33" s="14"/>
      <c r="M33" s="14"/>
      <c r="N33" s="14"/>
      <c r="O33" s="14"/>
      <c r="P33" s="14"/>
      <c r="Q33" s="15">
        <f t="shared" si="5"/>
        <v>1</v>
      </c>
      <c r="R33" s="11" t="s">
        <v>95</v>
      </c>
      <c r="S33" s="9"/>
      <c r="T33" s="9"/>
      <c r="U33" s="9"/>
      <c r="V33" s="9"/>
      <c r="W33" s="9"/>
      <c r="X33" s="9"/>
      <c r="Y33" s="9"/>
    </row>
    <row r="34" hidden="1">
      <c r="A34" s="10">
        <v>45608.31397258102</v>
      </c>
      <c r="B34" s="10" t="str">
        <f t="shared" si="1"/>
        <v>Blake CarlsonQ2: September 2024 - November 20244TH2.D</v>
      </c>
      <c r="C34" s="11" t="s">
        <v>87</v>
      </c>
      <c r="D34" s="11" t="s">
        <v>88</v>
      </c>
      <c r="E34" s="11" t="s">
        <v>34</v>
      </c>
      <c r="F34" s="11" t="s">
        <v>89</v>
      </c>
      <c r="G34" s="11" t="s">
        <v>92</v>
      </c>
      <c r="H34" s="12"/>
      <c r="I34" s="11" t="s">
        <v>31</v>
      </c>
      <c r="J34" s="11" t="s">
        <v>59</v>
      </c>
      <c r="K34" s="13">
        <v>85.0</v>
      </c>
      <c r="L34" s="14"/>
      <c r="M34" s="14"/>
      <c r="N34" s="14"/>
      <c r="O34" s="14"/>
      <c r="P34" s="14"/>
      <c r="Q34" s="15">
        <f t="shared" si="5"/>
        <v>0.85</v>
      </c>
      <c r="R34" s="11" t="s">
        <v>96</v>
      </c>
      <c r="S34" s="9"/>
      <c r="T34" s="9"/>
      <c r="U34" s="9"/>
      <c r="V34" s="9"/>
      <c r="W34" s="9"/>
      <c r="X34" s="9"/>
      <c r="Y34" s="9"/>
    </row>
    <row r="35" hidden="1">
      <c r="A35" s="10">
        <v>45707.56125024306</v>
      </c>
      <c r="B35" s="10" t="str">
        <f t="shared" si="1"/>
        <v>Blake CarlsonQ3: December 2024 - February 20254TH1.A, 2.A, 3.A</v>
      </c>
      <c r="C35" s="11" t="s">
        <v>87</v>
      </c>
      <c r="D35" s="11" t="s">
        <v>88</v>
      </c>
      <c r="E35" s="11" t="s">
        <v>40</v>
      </c>
      <c r="F35" s="11" t="s">
        <v>89</v>
      </c>
      <c r="G35" s="11" t="s">
        <v>92</v>
      </c>
      <c r="H35" s="12"/>
      <c r="I35" s="11" t="s">
        <v>97</v>
      </c>
      <c r="J35" s="11" t="s">
        <v>59</v>
      </c>
      <c r="K35" s="13">
        <v>85.0</v>
      </c>
      <c r="L35" s="13">
        <v>85.0</v>
      </c>
      <c r="M35" s="14"/>
      <c r="N35" s="14"/>
      <c r="O35" s="14"/>
      <c r="P35" s="14"/>
      <c r="Q35" s="15">
        <f t="shared" si="5"/>
        <v>0.85</v>
      </c>
      <c r="R35" s="11" t="s">
        <v>98</v>
      </c>
      <c r="S35" s="9"/>
      <c r="T35" s="9"/>
      <c r="U35" s="9"/>
      <c r="V35" s="9"/>
      <c r="W35" s="9"/>
      <c r="X35" s="9"/>
      <c r="Y35" s="9"/>
    </row>
    <row r="36" hidden="1">
      <c r="A36" s="10">
        <v>45708.62036284722</v>
      </c>
      <c r="B36" s="10" t="str">
        <f t="shared" si="1"/>
        <v>Blake CarlsonQ3: December 2024 - February 20253RD1.A</v>
      </c>
      <c r="C36" s="11" t="s">
        <v>87</v>
      </c>
      <c r="D36" s="11" t="s">
        <v>88</v>
      </c>
      <c r="E36" s="11" t="s">
        <v>40</v>
      </c>
      <c r="F36" s="11" t="s">
        <v>89</v>
      </c>
      <c r="G36" s="11" t="s">
        <v>99</v>
      </c>
      <c r="H36" s="12"/>
      <c r="I36" s="11" t="s">
        <v>56</v>
      </c>
      <c r="J36" s="11" t="s">
        <v>24</v>
      </c>
      <c r="K36" s="13">
        <v>10.0</v>
      </c>
      <c r="L36" s="14"/>
      <c r="M36" s="14"/>
      <c r="N36" s="14"/>
      <c r="O36" s="14"/>
      <c r="P36" s="14"/>
      <c r="Q36" s="15">
        <f t="shared" si="5"/>
        <v>0.1</v>
      </c>
      <c r="R36" s="11" t="s">
        <v>100</v>
      </c>
      <c r="S36" s="9"/>
      <c r="T36" s="9"/>
      <c r="U36" s="9"/>
      <c r="V36" s="9"/>
      <c r="W36" s="9"/>
      <c r="X36" s="9"/>
      <c r="Y36" s="9"/>
    </row>
    <row r="37" hidden="1">
      <c r="A37" s="10">
        <v>45799.77321005787</v>
      </c>
      <c r="B37" s="10" t="str">
        <f t="shared" si="1"/>
        <v>Blake CarlsonQ4: March 2025 - May 20256TH1.D</v>
      </c>
      <c r="C37" s="11" t="s">
        <v>87</v>
      </c>
      <c r="D37" s="11" t="s">
        <v>88</v>
      </c>
      <c r="E37" s="11" t="s">
        <v>45</v>
      </c>
      <c r="F37" s="11" t="s">
        <v>89</v>
      </c>
      <c r="G37" s="11" t="s">
        <v>92</v>
      </c>
      <c r="H37" s="12"/>
      <c r="I37" s="11" t="s">
        <v>23</v>
      </c>
      <c r="J37" s="11" t="s">
        <v>62</v>
      </c>
      <c r="K37" s="11">
        <v>80.0</v>
      </c>
      <c r="L37" s="11">
        <v>95.0</v>
      </c>
      <c r="M37" s="9"/>
      <c r="N37" s="9"/>
      <c r="O37" s="9"/>
      <c r="P37" s="9"/>
      <c r="Q37" s="11">
        <v>88.0</v>
      </c>
      <c r="R37" s="11" t="s">
        <v>101</v>
      </c>
      <c r="S37" s="9"/>
      <c r="T37" s="9"/>
      <c r="U37" s="9"/>
      <c r="V37" s="9"/>
      <c r="W37" s="9"/>
      <c r="X37" s="9"/>
      <c r="Y37" s="9"/>
    </row>
    <row r="38" hidden="1">
      <c r="A38" s="10">
        <v>45812.96437460648</v>
      </c>
      <c r="B38" s="10" t="str">
        <f t="shared" si="1"/>
        <v>Bobbie Spurgeon-HarrisQ4: March 2025 - May 20251ST3.A</v>
      </c>
      <c r="C38" s="11" t="s">
        <v>102</v>
      </c>
      <c r="D38" s="11" t="s">
        <v>103</v>
      </c>
      <c r="E38" s="11" t="s">
        <v>45</v>
      </c>
      <c r="F38" s="11" t="s">
        <v>104</v>
      </c>
      <c r="G38" s="9"/>
      <c r="H38" s="12"/>
      <c r="I38" s="11" t="s">
        <v>94</v>
      </c>
      <c r="J38" s="11" t="s">
        <v>32</v>
      </c>
      <c r="K38" s="11">
        <v>75.0</v>
      </c>
      <c r="L38" s="11">
        <v>100.0</v>
      </c>
      <c r="M38" s="9"/>
      <c r="N38" s="9"/>
      <c r="O38" s="9"/>
      <c r="P38" s="9"/>
      <c r="Q38" s="11">
        <v>88.0</v>
      </c>
      <c r="R38" s="11" t="s">
        <v>105</v>
      </c>
      <c r="S38" s="9"/>
      <c r="T38" s="9"/>
      <c r="U38" s="9"/>
      <c r="V38" s="9"/>
      <c r="W38" s="9"/>
      <c r="X38" s="9"/>
      <c r="Y38" s="9"/>
    </row>
    <row r="39" hidden="1">
      <c r="A39" s="11" t="s">
        <v>106</v>
      </c>
      <c r="B39" s="10" t="str">
        <f t="shared" si="1"/>
        <v>Bobbie Spurgeon-HarrisQ2: September 2024 - November 20242ND2.A, 2.B, 2.C</v>
      </c>
      <c r="C39" s="11" t="s">
        <v>102</v>
      </c>
      <c r="D39" s="11" t="s">
        <v>103</v>
      </c>
      <c r="E39" s="11" t="s">
        <v>34</v>
      </c>
      <c r="F39" s="11" t="s">
        <v>107</v>
      </c>
      <c r="G39" s="11"/>
      <c r="H39" s="12"/>
      <c r="I39" s="11" t="s">
        <v>108</v>
      </c>
      <c r="J39" s="11" t="s">
        <v>28</v>
      </c>
      <c r="K39" s="13">
        <v>100.0</v>
      </c>
      <c r="L39" s="13">
        <v>50.0</v>
      </c>
      <c r="M39" s="14"/>
      <c r="N39" s="14"/>
      <c r="O39" s="14"/>
      <c r="P39" s="14"/>
      <c r="Q39" s="18">
        <v>0.75</v>
      </c>
      <c r="R39" s="11" t="s">
        <v>109</v>
      </c>
      <c r="S39" s="9"/>
      <c r="T39" s="9"/>
      <c r="U39" s="9"/>
      <c r="V39" s="9"/>
      <c r="W39" s="9"/>
      <c r="X39" s="9"/>
      <c r="Y39" s="9"/>
    </row>
    <row r="40" hidden="1">
      <c r="A40" s="11" t="s">
        <v>110</v>
      </c>
      <c r="B40" s="10" t="str">
        <f t="shared" si="1"/>
        <v>Brad KendallQ4: March 2025 - May 20251ST1.A</v>
      </c>
      <c r="C40" s="11" t="s">
        <v>110</v>
      </c>
      <c r="D40" s="11" t="s">
        <v>111</v>
      </c>
      <c r="E40" s="11" t="s">
        <v>45</v>
      </c>
      <c r="F40" s="11" t="s">
        <v>112</v>
      </c>
      <c r="G40" s="9"/>
      <c r="H40" s="12"/>
      <c r="I40" s="11" t="s">
        <v>56</v>
      </c>
      <c r="J40" s="11" t="s">
        <v>32</v>
      </c>
      <c r="K40" s="13">
        <v>100.0</v>
      </c>
      <c r="L40" s="13">
        <v>60.0</v>
      </c>
      <c r="M40" s="14"/>
      <c r="N40" s="14"/>
      <c r="O40" s="14"/>
      <c r="P40" s="14"/>
      <c r="Q40" s="11">
        <v>80.0</v>
      </c>
      <c r="R40" s="11" t="s">
        <v>113</v>
      </c>
      <c r="S40" s="9"/>
      <c r="T40" s="9"/>
      <c r="U40" s="9"/>
      <c r="V40" s="9"/>
      <c r="W40" s="9"/>
      <c r="X40" s="9"/>
      <c r="Y40" s="9"/>
    </row>
    <row r="41" hidden="1">
      <c r="A41" s="10">
        <v>45608.677387083335</v>
      </c>
      <c r="B41" s="10" t="str">
        <f t="shared" si="1"/>
        <v>Brad KendallQ2: September 2024 - November 20241ST2.C</v>
      </c>
      <c r="C41" s="11" t="s">
        <v>114</v>
      </c>
      <c r="D41" s="11" t="s">
        <v>111</v>
      </c>
      <c r="E41" s="11" t="s">
        <v>34</v>
      </c>
      <c r="F41" s="11" t="s">
        <v>115</v>
      </c>
      <c r="G41" s="11"/>
      <c r="H41" s="12"/>
      <c r="I41" s="11" t="s">
        <v>27</v>
      </c>
      <c r="J41" s="11" t="s">
        <v>32</v>
      </c>
      <c r="K41" s="13">
        <v>0.0</v>
      </c>
      <c r="L41" s="14"/>
      <c r="M41" s="14"/>
      <c r="N41" s="14"/>
      <c r="O41" s="14"/>
      <c r="P41" s="14"/>
      <c r="Q41" s="15">
        <f t="shared" ref="Q41:Q46" si="6">AVERAGE(K41:P41)/100</f>
        <v>0</v>
      </c>
      <c r="R41" s="11" t="s">
        <v>116</v>
      </c>
      <c r="S41" s="9"/>
      <c r="T41" s="9"/>
      <c r="U41" s="9"/>
      <c r="V41" s="9"/>
      <c r="W41" s="9"/>
      <c r="X41" s="9"/>
      <c r="Y41" s="9"/>
    </row>
    <row r="42" hidden="1">
      <c r="A42" s="10">
        <v>45608.679309837964</v>
      </c>
      <c r="B42" s="10" t="str">
        <f t="shared" si="1"/>
        <v>Brad KendallQ2: September 2024 - November 20242ND1.C</v>
      </c>
      <c r="C42" s="11" t="s">
        <v>114</v>
      </c>
      <c r="D42" s="11" t="s">
        <v>111</v>
      </c>
      <c r="E42" s="11" t="s">
        <v>34</v>
      </c>
      <c r="F42" s="11" t="s">
        <v>115</v>
      </c>
      <c r="G42" s="11"/>
      <c r="H42" s="12"/>
      <c r="I42" s="11" t="s">
        <v>42</v>
      </c>
      <c r="J42" s="11" t="s">
        <v>28</v>
      </c>
      <c r="K42" s="13">
        <v>50.0</v>
      </c>
      <c r="L42" s="13">
        <v>40.0</v>
      </c>
      <c r="M42" s="14"/>
      <c r="N42" s="14"/>
      <c r="O42" s="14"/>
      <c r="P42" s="14"/>
      <c r="Q42" s="15">
        <f t="shared" si="6"/>
        <v>0.45</v>
      </c>
      <c r="R42" s="11" t="s">
        <v>117</v>
      </c>
      <c r="S42" s="9"/>
      <c r="T42" s="9"/>
      <c r="U42" s="9"/>
      <c r="V42" s="9"/>
      <c r="W42" s="9"/>
      <c r="X42" s="9"/>
      <c r="Y42" s="9"/>
    </row>
    <row r="43" hidden="1">
      <c r="A43" s="10">
        <v>45608.68129729167</v>
      </c>
      <c r="B43" s="10" t="str">
        <f t="shared" si="1"/>
        <v>Brad KendallQ2: September 2024 - November 20243RD1.A,1.C</v>
      </c>
      <c r="C43" s="11" t="s">
        <v>114</v>
      </c>
      <c r="D43" s="11" t="s">
        <v>111</v>
      </c>
      <c r="E43" s="11" t="s">
        <v>34</v>
      </c>
      <c r="F43" s="11" t="s">
        <v>115</v>
      </c>
      <c r="G43" s="11"/>
      <c r="H43" s="12"/>
      <c r="I43" s="11" t="s">
        <v>118</v>
      </c>
      <c r="J43" s="11" t="s">
        <v>24</v>
      </c>
      <c r="K43" s="13">
        <v>68.0</v>
      </c>
      <c r="L43" s="13">
        <v>60.0</v>
      </c>
      <c r="M43" s="14"/>
      <c r="N43" s="14"/>
      <c r="O43" s="14"/>
      <c r="P43" s="14"/>
      <c r="Q43" s="15">
        <f t="shared" si="6"/>
        <v>0.64</v>
      </c>
      <c r="R43" s="11" t="s">
        <v>119</v>
      </c>
      <c r="S43" s="9"/>
      <c r="T43" s="9"/>
      <c r="U43" s="9"/>
      <c r="V43" s="9"/>
      <c r="W43" s="9"/>
      <c r="X43" s="9"/>
      <c r="Y43" s="9"/>
    </row>
    <row r="44" hidden="1">
      <c r="A44" s="10">
        <v>45705.59109398148</v>
      </c>
      <c r="B44" s="10" t="str">
        <f t="shared" si="1"/>
        <v>Brad KendallQ3: December 2024 - February 20254TH1.A, 1.C, 1.D, 3.C</v>
      </c>
      <c r="C44" s="11" t="s">
        <v>114</v>
      </c>
      <c r="D44" s="11" t="s">
        <v>111</v>
      </c>
      <c r="E44" s="11" t="s">
        <v>40</v>
      </c>
      <c r="F44" s="11" t="s">
        <v>115</v>
      </c>
      <c r="G44" s="9"/>
      <c r="H44" s="12"/>
      <c r="I44" s="11" t="s">
        <v>120</v>
      </c>
      <c r="J44" s="11" t="s">
        <v>59</v>
      </c>
      <c r="K44" s="13">
        <v>51.0</v>
      </c>
      <c r="L44" s="13">
        <v>51.0</v>
      </c>
      <c r="M44" s="13">
        <v>51.0</v>
      </c>
      <c r="N44" s="14"/>
      <c r="O44" s="14"/>
      <c r="P44" s="14"/>
      <c r="Q44" s="15">
        <f t="shared" si="6"/>
        <v>0.51</v>
      </c>
      <c r="R44" s="11" t="s">
        <v>121</v>
      </c>
      <c r="S44" s="9"/>
      <c r="T44" s="9"/>
      <c r="U44" s="9"/>
      <c r="V44" s="9"/>
      <c r="W44" s="9"/>
      <c r="X44" s="9"/>
      <c r="Y44" s="9"/>
    </row>
    <row r="45" hidden="1">
      <c r="A45" s="10">
        <v>45705.6042271412</v>
      </c>
      <c r="B45" s="10" t="str">
        <f t="shared" si="1"/>
        <v>Brad KendallQ3: December 2024 - February 20252ND1.A, 1.C</v>
      </c>
      <c r="C45" s="11" t="s">
        <v>114</v>
      </c>
      <c r="D45" s="11" t="s">
        <v>111</v>
      </c>
      <c r="E45" s="11" t="s">
        <v>40</v>
      </c>
      <c r="F45" s="11" t="s">
        <v>115</v>
      </c>
      <c r="G45" s="9"/>
      <c r="H45" s="12"/>
      <c r="I45" s="11" t="s">
        <v>122</v>
      </c>
      <c r="J45" s="11" t="s">
        <v>28</v>
      </c>
      <c r="K45" s="13">
        <v>75.0</v>
      </c>
      <c r="L45" s="13">
        <v>75.0</v>
      </c>
      <c r="M45" s="14"/>
      <c r="N45" s="14"/>
      <c r="O45" s="14"/>
      <c r="P45" s="14"/>
      <c r="Q45" s="15">
        <f t="shared" si="6"/>
        <v>0.75</v>
      </c>
      <c r="R45" s="11" t="s">
        <v>123</v>
      </c>
      <c r="S45" s="9"/>
      <c r="T45" s="9"/>
      <c r="U45" s="9"/>
      <c r="V45" s="9"/>
      <c r="W45" s="9"/>
      <c r="X45" s="9"/>
      <c r="Y45" s="9"/>
    </row>
    <row r="46" hidden="1">
      <c r="A46" s="10">
        <v>45705.588632534724</v>
      </c>
      <c r="B46" s="10" t="str">
        <f t="shared" si="1"/>
        <v>Brad KendallQ3: December 2024 - February 20253RD1.A, 1.D</v>
      </c>
      <c r="C46" s="11" t="s">
        <v>114</v>
      </c>
      <c r="D46" s="11" t="s">
        <v>111</v>
      </c>
      <c r="E46" s="11" t="s">
        <v>40</v>
      </c>
      <c r="F46" s="11" t="s">
        <v>115</v>
      </c>
      <c r="G46" s="9"/>
      <c r="H46" s="12"/>
      <c r="I46" s="11" t="s">
        <v>124</v>
      </c>
      <c r="J46" s="11" t="s">
        <v>24</v>
      </c>
      <c r="K46" s="13">
        <v>39.0</v>
      </c>
      <c r="L46" s="13">
        <v>50.0</v>
      </c>
      <c r="M46" s="14"/>
      <c r="N46" s="14"/>
      <c r="O46" s="14"/>
      <c r="P46" s="14"/>
      <c r="Q46" s="15">
        <f t="shared" si="6"/>
        <v>0.445</v>
      </c>
      <c r="R46" s="11" t="s">
        <v>125</v>
      </c>
      <c r="S46" s="9"/>
      <c r="T46" s="9"/>
      <c r="U46" s="9"/>
      <c r="V46" s="9"/>
      <c r="W46" s="9"/>
      <c r="X46" s="9"/>
      <c r="Y46" s="9"/>
    </row>
    <row r="47" hidden="1">
      <c r="A47" s="10">
        <v>45796.48115402777</v>
      </c>
      <c r="B47" s="10" t="str">
        <f t="shared" si="1"/>
        <v>Brad KendallQ4: March 2025 - May 20252ND1.C</v>
      </c>
      <c r="C47" s="11" t="s">
        <v>114</v>
      </c>
      <c r="D47" s="11" t="s">
        <v>111</v>
      </c>
      <c r="E47" s="11" t="s">
        <v>45</v>
      </c>
      <c r="F47" s="11" t="s">
        <v>115</v>
      </c>
      <c r="G47" s="9"/>
      <c r="H47" s="12"/>
      <c r="I47" s="11" t="s">
        <v>42</v>
      </c>
      <c r="J47" s="11" t="s">
        <v>28</v>
      </c>
      <c r="K47" s="11">
        <v>100.0</v>
      </c>
      <c r="L47" s="11">
        <v>75.0</v>
      </c>
      <c r="M47" s="9"/>
      <c r="N47" s="9"/>
      <c r="O47" s="9"/>
      <c r="P47" s="9"/>
      <c r="Q47" s="11">
        <v>88.0</v>
      </c>
      <c r="R47" s="11" t="s">
        <v>126</v>
      </c>
      <c r="S47" s="9"/>
      <c r="T47" s="9"/>
      <c r="U47" s="9"/>
      <c r="V47" s="9"/>
      <c r="W47" s="9"/>
      <c r="X47" s="9"/>
      <c r="Y47" s="9"/>
    </row>
    <row r="48" hidden="1">
      <c r="A48" s="10">
        <v>45523.56468148148</v>
      </c>
      <c r="B48" s="10" t="str">
        <f t="shared" si="1"/>
        <v>Carol FowlkesQ1: June 2024 - August 20241ST1.A</v>
      </c>
      <c r="C48" s="11" t="s">
        <v>127</v>
      </c>
      <c r="D48" s="11" t="s">
        <v>128</v>
      </c>
      <c r="E48" s="11" t="s">
        <v>21</v>
      </c>
      <c r="F48" s="11" t="s">
        <v>129</v>
      </c>
      <c r="G48" s="11" t="s">
        <v>130</v>
      </c>
      <c r="H48" s="12"/>
      <c r="I48" s="11" t="s">
        <v>56</v>
      </c>
      <c r="J48" s="11" t="s">
        <v>32</v>
      </c>
      <c r="K48" s="13">
        <v>80.0</v>
      </c>
      <c r="L48" s="14"/>
      <c r="M48" s="14"/>
      <c r="N48" s="14"/>
      <c r="O48" s="14"/>
      <c r="P48" s="14"/>
      <c r="Q48" s="15">
        <f t="shared" ref="Q48:Q50" si="7">AVERAGE(K48:P48)/100</f>
        <v>0.8</v>
      </c>
      <c r="R48" s="11" t="s">
        <v>131</v>
      </c>
      <c r="S48" s="9"/>
      <c r="T48" s="9"/>
      <c r="U48" s="9"/>
      <c r="V48" s="9"/>
      <c r="W48" s="9"/>
      <c r="X48" s="9"/>
      <c r="Y48" s="9"/>
    </row>
    <row r="49" hidden="1">
      <c r="A49" s="10">
        <v>45607.55401302083</v>
      </c>
      <c r="B49" s="10" t="str">
        <f t="shared" si="1"/>
        <v>Carol FowlkesQ2: September 2024 - November 20242ND3.C</v>
      </c>
      <c r="C49" s="11" t="s">
        <v>127</v>
      </c>
      <c r="D49" s="11" t="s">
        <v>128</v>
      </c>
      <c r="E49" s="11" t="s">
        <v>34</v>
      </c>
      <c r="F49" s="11" t="s">
        <v>129</v>
      </c>
      <c r="G49" s="11" t="s">
        <v>130</v>
      </c>
      <c r="H49" s="12"/>
      <c r="I49" s="11" t="s">
        <v>61</v>
      </c>
      <c r="J49" s="11" t="s">
        <v>28</v>
      </c>
      <c r="K49" s="13">
        <v>65.0</v>
      </c>
      <c r="L49" s="14"/>
      <c r="M49" s="14"/>
      <c r="N49" s="14"/>
      <c r="O49" s="14"/>
      <c r="P49" s="14"/>
      <c r="Q49" s="15">
        <f t="shared" si="7"/>
        <v>0.65</v>
      </c>
      <c r="R49" s="11" t="s">
        <v>132</v>
      </c>
      <c r="S49" s="9"/>
      <c r="T49" s="9"/>
      <c r="U49" s="9"/>
      <c r="V49" s="9"/>
      <c r="W49" s="9"/>
      <c r="X49" s="9"/>
      <c r="Y49" s="9"/>
    </row>
    <row r="50" hidden="1">
      <c r="A50" s="10">
        <v>45712.5609170949</v>
      </c>
      <c r="B50" s="10" t="str">
        <f t="shared" si="1"/>
        <v>Carol FowlkesQ3: December 2024 - February 20252ND3.C</v>
      </c>
      <c r="C50" s="11" t="s">
        <v>127</v>
      </c>
      <c r="D50" s="11" t="s">
        <v>128</v>
      </c>
      <c r="E50" s="11" t="s">
        <v>40</v>
      </c>
      <c r="F50" s="11" t="s">
        <v>129</v>
      </c>
      <c r="G50" s="11" t="s">
        <v>130</v>
      </c>
      <c r="H50" s="12"/>
      <c r="I50" s="11" t="s">
        <v>61</v>
      </c>
      <c r="J50" s="11" t="s">
        <v>28</v>
      </c>
      <c r="K50" s="13">
        <v>10.0</v>
      </c>
      <c r="L50" s="14"/>
      <c r="M50" s="14"/>
      <c r="N50" s="14"/>
      <c r="O50" s="14"/>
      <c r="P50" s="14"/>
      <c r="Q50" s="15">
        <f t="shared" si="7"/>
        <v>0.1</v>
      </c>
      <c r="R50" s="11" t="s">
        <v>133</v>
      </c>
      <c r="S50" s="9"/>
      <c r="T50" s="9"/>
      <c r="U50" s="9"/>
      <c r="V50" s="9"/>
      <c r="W50" s="9"/>
      <c r="X50" s="9"/>
      <c r="Y50" s="9"/>
    </row>
    <row r="51" hidden="1">
      <c r="A51" s="10">
        <v>45797.42211324074</v>
      </c>
      <c r="B51" s="10" t="str">
        <f t="shared" si="1"/>
        <v>Carol FowlkesQ4: March 2025 - May 20251ST3.C</v>
      </c>
      <c r="C51" s="11" t="s">
        <v>127</v>
      </c>
      <c r="D51" s="11" t="s">
        <v>128</v>
      </c>
      <c r="E51" s="11" t="s">
        <v>45</v>
      </c>
      <c r="F51" s="11" t="s">
        <v>129</v>
      </c>
      <c r="G51" s="11" t="s">
        <v>130</v>
      </c>
      <c r="H51" s="12"/>
      <c r="I51" s="11" t="s">
        <v>61</v>
      </c>
      <c r="J51" s="11" t="s">
        <v>32</v>
      </c>
      <c r="K51" s="11">
        <v>80.0</v>
      </c>
      <c r="L51" s="11">
        <v>33.0</v>
      </c>
      <c r="M51" s="11">
        <v>100.0</v>
      </c>
      <c r="N51" s="9"/>
      <c r="O51" s="9"/>
      <c r="P51" s="9"/>
      <c r="Q51" s="11">
        <v>71.0</v>
      </c>
      <c r="R51" s="11" t="s">
        <v>134</v>
      </c>
      <c r="S51" s="9"/>
      <c r="T51" s="9"/>
      <c r="U51" s="9"/>
      <c r="V51" s="9"/>
      <c r="W51" s="9"/>
      <c r="X51" s="9"/>
      <c r="Y51" s="9"/>
    </row>
    <row r="52" hidden="1">
      <c r="A52" s="10">
        <v>45525.4936540162</v>
      </c>
      <c r="B52" s="10" t="str">
        <f t="shared" si="1"/>
        <v>CHRISTIE SMITH Q1: June 2024 - August 20241ST2.C, 3.C</v>
      </c>
      <c r="C52" s="11" t="s">
        <v>135</v>
      </c>
      <c r="D52" s="11" t="s">
        <v>136</v>
      </c>
      <c r="E52" s="11" t="s">
        <v>21</v>
      </c>
      <c r="F52" s="11" t="s">
        <v>137</v>
      </c>
      <c r="G52" s="9"/>
      <c r="H52" s="12"/>
      <c r="I52" s="11" t="s">
        <v>138</v>
      </c>
      <c r="J52" s="11" t="s">
        <v>32</v>
      </c>
      <c r="K52" s="13">
        <v>100.0</v>
      </c>
      <c r="L52" s="14"/>
      <c r="M52" s="14"/>
      <c r="N52" s="14"/>
      <c r="O52" s="14"/>
      <c r="P52" s="14"/>
      <c r="Q52" s="15">
        <f t="shared" ref="Q52:Q53" si="8">AVERAGE(K52:P52)/100</f>
        <v>1</v>
      </c>
      <c r="R52" s="11" t="s">
        <v>139</v>
      </c>
      <c r="S52" s="9"/>
      <c r="T52" s="9"/>
      <c r="U52" s="9"/>
      <c r="V52" s="9"/>
      <c r="W52" s="9"/>
      <c r="X52" s="9"/>
      <c r="Y52" s="9"/>
    </row>
    <row r="53" hidden="1">
      <c r="A53" s="10">
        <v>45525.494521886576</v>
      </c>
      <c r="B53" s="10" t="str">
        <f t="shared" si="1"/>
        <v>CHRISTIE SMITHQ1: June 2024 - August 20242ND2.C</v>
      </c>
      <c r="C53" s="11" t="s">
        <v>135</v>
      </c>
      <c r="D53" s="11" t="s">
        <v>140</v>
      </c>
      <c r="E53" s="11" t="s">
        <v>21</v>
      </c>
      <c r="F53" s="11" t="s">
        <v>137</v>
      </c>
      <c r="G53" s="9"/>
      <c r="H53" s="12"/>
      <c r="I53" s="11" t="s">
        <v>27</v>
      </c>
      <c r="J53" s="11" t="s">
        <v>28</v>
      </c>
      <c r="K53" s="13">
        <v>100.0</v>
      </c>
      <c r="L53" s="14"/>
      <c r="M53" s="14"/>
      <c r="N53" s="14"/>
      <c r="O53" s="14"/>
      <c r="P53" s="14"/>
      <c r="Q53" s="15">
        <f t="shared" si="8"/>
        <v>1</v>
      </c>
      <c r="R53" s="11" t="s">
        <v>141</v>
      </c>
      <c r="S53" s="9"/>
      <c r="T53" s="9"/>
      <c r="U53" s="9"/>
      <c r="V53" s="9"/>
      <c r="W53" s="9"/>
      <c r="X53" s="9"/>
      <c r="Y53" s="9"/>
    </row>
    <row r="54" hidden="1">
      <c r="A54" s="10">
        <v>45797.46789707176</v>
      </c>
      <c r="B54" s="10" t="str">
        <f t="shared" si="1"/>
        <v>Christopher CanaryQ4: March 2025 - May 20259TH2.C</v>
      </c>
      <c r="C54" s="11" t="s">
        <v>142</v>
      </c>
      <c r="D54" s="11" t="s">
        <v>143</v>
      </c>
      <c r="E54" s="11" t="s">
        <v>45</v>
      </c>
      <c r="F54" s="11" t="s">
        <v>144</v>
      </c>
      <c r="G54" s="11" t="s">
        <v>145</v>
      </c>
      <c r="H54" s="12"/>
      <c r="I54" s="11" t="s">
        <v>27</v>
      </c>
      <c r="J54" s="11" t="s">
        <v>146</v>
      </c>
      <c r="K54" s="11">
        <v>100.0</v>
      </c>
      <c r="L54" s="9"/>
      <c r="M54" s="9"/>
      <c r="N54" s="9"/>
      <c r="O54" s="9"/>
      <c r="P54" s="9"/>
      <c r="Q54" s="11">
        <v>100.0</v>
      </c>
      <c r="R54" s="11" t="s">
        <v>147</v>
      </c>
      <c r="S54" s="9"/>
      <c r="T54" s="9"/>
      <c r="U54" s="9"/>
      <c r="V54" s="9"/>
      <c r="W54" s="9"/>
      <c r="X54" s="9"/>
      <c r="Y54" s="9"/>
    </row>
    <row r="55" hidden="1">
      <c r="A55" s="10">
        <v>45797.46476415509</v>
      </c>
      <c r="B55" s="10" t="str">
        <f t="shared" si="1"/>
        <v>Christopher CanaryQ4: March 2025 - May 20257TH3.B</v>
      </c>
      <c r="C55" s="11" t="s">
        <v>142</v>
      </c>
      <c r="D55" s="11" t="s">
        <v>143</v>
      </c>
      <c r="E55" s="11" t="s">
        <v>45</v>
      </c>
      <c r="F55" s="11" t="s">
        <v>89</v>
      </c>
      <c r="G55" s="11" t="s">
        <v>148</v>
      </c>
      <c r="H55" s="12"/>
      <c r="I55" s="19" t="s">
        <v>149</v>
      </c>
      <c r="J55" s="11" t="s">
        <v>67</v>
      </c>
      <c r="K55" s="11">
        <v>100.0</v>
      </c>
      <c r="L55" s="11">
        <v>100.0</v>
      </c>
      <c r="M55" s="9"/>
      <c r="N55" s="9"/>
      <c r="O55" s="9"/>
      <c r="P55" s="9"/>
      <c r="Q55" s="11">
        <v>100.0</v>
      </c>
      <c r="R55" s="11" t="s">
        <v>150</v>
      </c>
      <c r="S55" s="9"/>
      <c r="T55" s="9"/>
      <c r="U55" s="9"/>
      <c r="V55" s="9"/>
      <c r="W55" s="9"/>
      <c r="X55" s="9"/>
      <c r="Y55" s="9"/>
    </row>
    <row r="56" hidden="1">
      <c r="A56" s="10">
        <v>45797.46634206019</v>
      </c>
      <c r="B56" s="10" t="str">
        <f t="shared" si="1"/>
        <v>Christopher CanaryQ4: March 2025 - May 20258TH2.C</v>
      </c>
      <c r="C56" s="11" t="s">
        <v>142</v>
      </c>
      <c r="D56" s="11" t="s">
        <v>143</v>
      </c>
      <c r="E56" s="11" t="s">
        <v>45</v>
      </c>
      <c r="F56" s="11" t="s">
        <v>89</v>
      </c>
      <c r="G56" s="11" t="s">
        <v>151</v>
      </c>
      <c r="H56" s="12"/>
      <c r="I56" s="19" t="s">
        <v>27</v>
      </c>
      <c r="J56" s="11" t="s">
        <v>152</v>
      </c>
      <c r="K56" s="11">
        <v>75.0</v>
      </c>
      <c r="L56" s="9"/>
      <c r="M56" s="9"/>
      <c r="N56" s="9"/>
      <c r="O56" s="9"/>
      <c r="P56" s="9"/>
      <c r="Q56" s="11">
        <v>75.0</v>
      </c>
      <c r="R56" s="11" t="s">
        <v>153</v>
      </c>
      <c r="S56" s="9"/>
      <c r="T56" s="9"/>
      <c r="U56" s="9"/>
      <c r="V56" s="9"/>
      <c r="W56" s="9"/>
      <c r="X56" s="9"/>
      <c r="Y56" s="9"/>
    </row>
    <row r="57" hidden="1">
      <c r="A57" s="10">
        <v>45517.54492594907</v>
      </c>
      <c r="B57" s="10" t="str">
        <f t="shared" si="1"/>
        <v>Christopher CanaryQ1: June 2024 - August 20242ND2.C</v>
      </c>
      <c r="C57" s="11" t="s">
        <v>142</v>
      </c>
      <c r="D57" s="11" t="s">
        <v>143</v>
      </c>
      <c r="E57" s="11" t="s">
        <v>21</v>
      </c>
      <c r="F57" s="11" t="s">
        <v>154</v>
      </c>
      <c r="G57" s="11" t="s">
        <v>155</v>
      </c>
      <c r="H57" s="12"/>
      <c r="I57" s="11" t="s">
        <v>27</v>
      </c>
      <c r="J57" s="11" t="s">
        <v>28</v>
      </c>
      <c r="K57" s="13">
        <v>95.0</v>
      </c>
      <c r="L57" s="14"/>
      <c r="M57" s="14"/>
      <c r="N57" s="14"/>
      <c r="O57" s="14"/>
      <c r="P57" s="14"/>
      <c r="Q57" s="15">
        <f t="shared" ref="Q57:Q65" si="9">AVERAGE(K57:P57)/100</f>
        <v>0.95</v>
      </c>
      <c r="R57" s="11" t="s">
        <v>156</v>
      </c>
      <c r="S57" s="9"/>
      <c r="T57" s="9"/>
      <c r="U57" s="9"/>
      <c r="V57" s="9"/>
      <c r="W57" s="9"/>
      <c r="X57" s="9"/>
      <c r="Y57" s="9"/>
    </row>
    <row r="58" hidden="1">
      <c r="A58" s="10">
        <v>45517.54716949074</v>
      </c>
      <c r="B58" s="10" t="str">
        <f t="shared" si="1"/>
        <v>Christopher CanaryQ1: June 2024 - August 20243RD3.C</v>
      </c>
      <c r="C58" s="11" t="s">
        <v>142</v>
      </c>
      <c r="D58" s="11" t="s">
        <v>143</v>
      </c>
      <c r="E58" s="11" t="s">
        <v>21</v>
      </c>
      <c r="F58" s="11" t="s">
        <v>154</v>
      </c>
      <c r="G58" s="11" t="s">
        <v>157</v>
      </c>
      <c r="H58" s="12"/>
      <c r="I58" s="11" t="s">
        <v>61</v>
      </c>
      <c r="J58" s="11" t="s">
        <v>24</v>
      </c>
      <c r="K58" s="13">
        <v>75.0</v>
      </c>
      <c r="L58" s="14"/>
      <c r="M58" s="14"/>
      <c r="N58" s="14"/>
      <c r="O58" s="14"/>
      <c r="P58" s="14"/>
      <c r="Q58" s="15">
        <f t="shared" si="9"/>
        <v>0.75</v>
      </c>
      <c r="R58" s="11" t="s">
        <v>158</v>
      </c>
      <c r="S58" s="9"/>
      <c r="T58" s="9"/>
      <c r="U58" s="9"/>
      <c r="V58" s="9"/>
      <c r="W58" s="9"/>
      <c r="X58" s="9"/>
      <c r="Y58" s="9"/>
    </row>
    <row r="59" hidden="1">
      <c r="A59" s="10">
        <v>45517.67681379629</v>
      </c>
      <c r="B59" s="10" t="str">
        <f t="shared" si="1"/>
        <v>Christopher CanaryQ1: June 2024 - August 20241ST2.C</v>
      </c>
      <c r="C59" s="11" t="s">
        <v>142</v>
      </c>
      <c r="D59" s="11" t="s">
        <v>143</v>
      </c>
      <c r="E59" s="11" t="s">
        <v>21</v>
      </c>
      <c r="F59" s="11" t="s">
        <v>154</v>
      </c>
      <c r="G59" s="11" t="s">
        <v>159</v>
      </c>
      <c r="H59" s="12"/>
      <c r="I59" s="11" t="s">
        <v>27</v>
      </c>
      <c r="J59" s="11" t="s">
        <v>32</v>
      </c>
      <c r="K59" s="13">
        <v>65.0</v>
      </c>
      <c r="L59" s="14"/>
      <c r="M59" s="14"/>
      <c r="N59" s="14"/>
      <c r="O59" s="14"/>
      <c r="P59" s="14"/>
      <c r="Q59" s="15">
        <f t="shared" si="9"/>
        <v>0.65</v>
      </c>
      <c r="R59" s="11" t="s">
        <v>160</v>
      </c>
      <c r="S59" s="9"/>
      <c r="T59" s="9"/>
      <c r="U59" s="9"/>
      <c r="V59" s="9"/>
      <c r="W59" s="9"/>
      <c r="X59" s="9"/>
      <c r="Y59" s="9"/>
    </row>
    <row r="60" hidden="1">
      <c r="A60" s="10">
        <v>45614.494650567125</v>
      </c>
      <c r="B60" s="10" t="str">
        <f t="shared" si="1"/>
        <v>Christopher CanaryQ2: September 2024 - November 20241ST2.C</v>
      </c>
      <c r="C60" s="11" t="s">
        <v>142</v>
      </c>
      <c r="D60" s="11" t="s">
        <v>143</v>
      </c>
      <c r="E60" s="11" t="s">
        <v>34</v>
      </c>
      <c r="F60" s="11" t="s">
        <v>154</v>
      </c>
      <c r="G60" s="11" t="s">
        <v>161</v>
      </c>
      <c r="H60" s="12"/>
      <c r="I60" s="11" t="s">
        <v>27</v>
      </c>
      <c r="J60" s="11" t="s">
        <v>32</v>
      </c>
      <c r="K60" s="13">
        <v>100.0</v>
      </c>
      <c r="L60" s="13">
        <v>50.0</v>
      </c>
      <c r="M60" s="14"/>
      <c r="N60" s="14"/>
      <c r="O60" s="14"/>
      <c r="P60" s="14"/>
      <c r="Q60" s="15">
        <f t="shared" si="9"/>
        <v>0.75</v>
      </c>
      <c r="R60" s="11" t="s">
        <v>162</v>
      </c>
      <c r="S60" s="9"/>
      <c r="T60" s="9"/>
      <c r="U60" s="9"/>
      <c r="V60" s="9"/>
      <c r="W60" s="9"/>
      <c r="X60" s="9"/>
      <c r="Y60" s="9"/>
    </row>
    <row r="61" hidden="1">
      <c r="A61" s="10">
        <v>45614.495709780094</v>
      </c>
      <c r="B61" s="10" t="str">
        <f t="shared" si="1"/>
        <v>Christopher CanaryQ2: September 2024 - November 20242ND2.C</v>
      </c>
      <c r="C61" s="11" t="s">
        <v>142</v>
      </c>
      <c r="D61" s="11" t="s">
        <v>143</v>
      </c>
      <c r="E61" s="11" t="s">
        <v>34</v>
      </c>
      <c r="F61" s="11" t="s">
        <v>154</v>
      </c>
      <c r="G61" s="11" t="s">
        <v>163</v>
      </c>
      <c r="H61" s="12"/>
      <c r="I61" s="11" t="s">
        <v>27</v>
      </c>
      <c r="J61" s="11" t="s">
        <v>28</v>
      </c>
      <c r="K61" s="13">
        <v>100.0</v>
      </c>
      <c r="L61" s="14"/>
      <c r="M61" s="14"/>
      <c r="N61" s="14"/>
      <c r="O61" s="14"/>
      <c r="P61" s="14"/>
      <c r="Q61" s="15">
        <f t="shared" si="9"/>
        <v>1</v>
      </c>
      <c r="R61" s="11" t="s">
        <v>164</v>
      </c>
      <c r="S61" s="9"/>
      <c r="T61" s="9"/>
      <c r="U61" s="9"/>
      <c r="V61" s="9"/>
      <c r="W61" s="9"/>
      <c r="X61" s="9"/>
      <c r="Y61" s="9"/>
    </row>
    <row r="62" hidden="1">
      <c r="A62" s="10">
        <v>45614.496807881944</v>
      </c>
      <c r="B62" s="10" t="str">
        <f t="shared" si="1"/>
        <v>Christopher CanaryQ2: September 2024 - November 20243RD2.D</v>
      </c>
      <c r="C62" s="11" t="s">
        <v>142</v>
      </c>
      <c r="D62" s="11" t="s">
        <v>143</v>
      </c>
      <c r="E62" s="11" t="s">
        <v>34</v>
      </c>
      <c r="F62" s="11" t="s">
        <v>154</v>
      </c>
      <c r="G62" s="11" t="s">
        <v>165</v>
      </c>
      <c r="H62" s="12"/>
      <c r="I62" s="11" t="s">
        <v>31</v>
      </c>
      <c r="J62" s="11" t="s">
        <v>24</v>
      </c>
      <c r="K62" s="13">
        <v>80.0</v>
      </c>
      <c r="L62" s="13">
        <v>60.0</v>
      </c>
      <c r="M62" s="14"/>
      <c r="N62" s="14"/>
      <c r="O62" s="14"/>
      <c r="P62" s="14"/>
      <c r="Q62" s="15">
        <f t="shared" si="9"/>
        <v>0.7</v>
      </c>
      <c r="R62" s="11" t="s">
        <v>166</v>
      </c>
      <c r="S62" s="9"/>
      <c r="T62" s="9"/>
      <c r="U62" s="9"/>
      <c r="V62" s="9"/>
      <c r="W62" s="9"/>
      <c r="X62" s="9"/>
      <c r="Y62" s="9"/>
    </row>
    <row r="63" hidden="1">
      <c r="A63" s="10">
        <v>45708.343656909725</v>
      </c>
      <c r="B63" s="10" t="str">
        <f t="shared" si="1"/>
        <v>Christopher CanaryQ3: December 2024 - February 20252ND2.C</v>
      </c>
      <c r="C63" s="11" t="s">
        <v>142</v>
      </c>
      <c r="D63" s="11" t="s">
        <v>143</v>
      </c>
      <c r="E63" s="11" t="s">
        <v>40</v>
      </c>
      <c r="F63" s="11" t="s">
        <v>154</v>
      </c>
      <c r="G63" s="11" t="s">
        <v>167</v>
      </c>
      <c r="H63" s="12"/>
      <c r="I63" s="11" t="s">
        <v>27</v>
      </c>
      <c r="J63" s="11" t="s">
        <v>28</v>
      </c>
      <c r="K63" s="13">
        <v>95.0</v>
      </c>
      <c r="L63" s="14"/>
      <c r="M63" s="14"/>
      <c r="N63" s="14"/>
      <c r="O63" s="14"/>
      <c r="P63" s="14"/>
      <c r="Q63" s="15">
        <f t="shared" si="9"/>
        <v>0.95</v>
      </c>
      <c r="R63" s="11" t="s">
        <v>168</v>
      </c>
      <c r="S63" s="9"/>
      <c r="T63" s="9"/>
      <c r="U63" s="9"/>
      <c r="V63" s="9"/>
      <c r="W63" s="9"/>
      <c r="X63" s="9"/>
      <c r="Y63" s="9"/>
    </row>
    <row r="64" hidden="1">
      <c r="A64" s="10">
        <v>45708.34919079861</v>
      </c>
      <c r="B64" s="10" t="str">
        <f t="shared" si="1"/>
        <v>Christopher CanaryQ3: December 2024 - February 20251ST3.C</v>
      </c>
      <c r="C64" s="11" t="s">
        <v>142</v>
      </c>
      <c r="D64" s="11" t="s">
        <v>143</v>
      </c>
      <c r="E64" s="11" t="s">
        <v>40</v>
      </c>
      <c r="F64" s="11" t="s">
        <v>154</v>
      </c>
      <c r="G64" s="11" t="s">
        <v>157</v>
      </c>
      <c r="H64" s="12"/>
      <c r="I64" s="11" t="s">
        <v>61</v>
      </c>
      <c r="J64" s="11" t="s">
        <v>32</v>
      </c>
      <c r="K64" s="13">
        <v>60.0</v>
      </c>
      <c r="L64" s="13">
        <v>95.0</v>
      </c>
      <c r="M64" s="14"/>
      <c r="N64" s="14"/>
      <c r="O64" s="14"/>
      <c r="P64" s="14"/>
      <c r="Q64" s="15">
        <f t="shared" si="9"/>
        <v>0.775</v>
      </c>
      <c r="R64" s="11" t="s">
        <v>169</v>
      </c>
      <c r="S64" s="9"/>
      <c r="T64" s="9"/>
      <c r="U64" s="9"/>
      <c r="V64" s="9"/>
      <c r="W64" s="9"/>
      <c r="X64" s="9"/>
      <c r="Y64" s="9"/>
    </row>
    <row r="65" hidden="1">
      <c r="A65" s="10">
        <v>45708.459848287035</v>
      </c>
      <c r="B65" s="10" t="str">
        <f t="shared" si="1"/>
        <v>Christopher CanaryQ3: December 2024 - February 20253RD2.C</v>
      </c>
      <c r="C65" s="11" t="s">
        <v>142</v>
      </c>
      <c r="D65" s="11" t="s">
        <v>143</v>
      </c>
      <c r="E65" s="11" t="s">
        <v>40</v>
      </c>
      <c r="F65" s="11" t="s">
        <v>154</v>
      </c>
      <c r="G65" s="11" t="s">
        <v>170</v>
      </c>
      <c r="H65" s="12"/>
      <c r="I65" s="11" t="s">
        <v>27</v>
      </c>
      <c r="J65" s="11" t="s">
        <v>24</v>
      </c>
      <c r="K65" s="13">
        <v>10.0</v>
      </c>
      <c r="L65" s="13">
        <v>0.0</v>
      </c>
      <c r="M65" s="14"/>
      <c r="N65" s="14"/>
      <c r="O65" s="14"/>
      <c r="P65" s="14"/>
      <c r="Q65" s="15">
        <f t="shared" si="9"/>
        <v>0.05</v>
      </c>
      <c r="R65" s="11" t="s">
        <v>171</v>
      </c>
      <c r="S65" s="9"/>
      <c r="T65" s="9"/>
      <c r="U65" s="9"/>
      <c r="V65" s="9"/>
      <c r="W65" s="9"/>
      <c r="X65" s="9"/>
      <c r="Y65" s="9"/>
    </row>
    <row r="66" hidden="1">
      <c r="A66" s="10">
        <v>45797.45723876158</v>
      </c>
      <c r="B66" s="10" t="str">
        <f t="shared" si="1"/>
        <v>Colby IngramQ4: March 2025 - May 20251ST2.B</v>
      </c>
      <c r="C66" s="11" t="s">
        <v>172</v>
      </c>
      <c r="D66" s="11" t="s">
        <v>173</v>
      </c>
      <c r="E66" s="11" t="s">
        <v>45</v>
      </c>
      <c r="F66" s="11" t="s">
        <v>137</v>
      </c>
      <c r="G66" s="9"/>
      <c r="H66" s="12"/>
      <c r="I66" s="11" t="s">
        <v>83</v>
      </c>
      <c r="J66" s="11" t="s">
        <v>32</v>
      </c>
      <c r="K66" s="11">
        <v>25.0</v>
      </c>
      <c r="L66" s="9"/>
      <c r="M66" s="9"/>
      <c r="N66" s="9"/>
      <c r="O66" s="9"/>
      <c r="P66" s="9"/>
      <c r="Q66" s="11">
        <v>25.0</v>
      </c>
      <c r="R66" s="11" t="s">
        <v>174</v>
      </c>
      <c r="S66" s="9"/>
      <c r="T66" s="9"/>
      <c r="U66" s="9"/>
      <c r="V66" s="9"/>
      <c r="W66" s="9"/>
      <c r="X66" s="9"/>
      <c r="Y66" s="9"/>
    </row>
    <row r="67" hidden="1">
      <c r="A67" s="10">
        <v>45708.42554056713</v>
      </c>
      <c r="B67" s="10" t="str">
        <f t="shared" si="1"/>
        <v>Dan FisherQ3: December 2024 - February 20251ST2.A</v>
      </c>
      <c r="C67" s="11" t="s">
        <v>175</v>
      </c>
      <c r="D67" s="11" t="s">
        <v>176</v>
      </c>
      <c r="E67" s="11" t="s">
        <v>40</v>
      </c>
      <c r="F67" s="11" t="s">
        <v>177</v>
      </c>
      <c r="G67" s="11"/>
      <c r="H67" s="12"/>
      <c r="I67" s="11" t="s">
        <v>36</v>
      </c>
      <c r="J67" s="11" t="s">
        <v>32</v>
      </c>
      <c r="K67" s="13">
        <v>50.0</v>
      </c>
      <c r="L67" s="13">
        <v>10.0</v>
      </c>
      <c r="M67" s="14"/>
      <c r="N67" s="14"/>
      <c r="O67" s="14"/>
      <c r="P67" s="14"/>
      <c r="Q67" s="15">
        <f t="shared" ref="Q67:Q70" si="10">AVERAGE(K67:P67)/100</f>
        <v>0.3</v>
      </c>
      <c r="R67" s="11" t="s">
        <v>178</v>
      </c>
      <c r="S67" s="9"/>
      <c r="T67" s="9"/>
      <c r="U67" s="9"/>
      <c r="V67" s="9"/>
      <c r="W67" s="9"/>
      <c r="X67" s="9"/>
      <c r="Y67" s="9"/>
    </row>
    <row r="68" hidden="1">
      <c r="A68" s="10">
        <v>45708.42710282408</v>
      </c>
      <c r="B68" s="10" t="str">
        <f t="shared" si="1"/>
        <v>Dan FisherQ3: December 2024 - February 20252ND3.C</v>
      </c>
      <c r="C68" s="11" t="s">
        <v>175</v>
      </c>
      <c r="D68" s="11" t="s">
        <v>176</v>
      </c>
      <c r="E68" s="11" t="s">
        <v>40</v>
      </c>
      <c r="F68" s="11" t="s">
        <v>177</v>
      </c>
      <c r="G68" s="11"/>
      <c r="H68" s="12"/>
      <c r="I68" s="11" t="s">
        <v>61</v>
      </c>
      <c r="J68" s="11" t="s">
        <v>28</v>
      </c>
      <c r="K68" s="13">
        <v>75.0</v>
      </c>
      <c r="L68" s="13">
        <v>100.0</v>
      </c>
      <c r="M68" s="14"/>
      <c r="N68" s="14"/>
      <c r="O68" s="14"/>
      <c r="P68" s="14"/>
      <c r="Q68" s="15">
        <f t="shared" si="10"/>
        <v>0.875</v>
      </c>
      <c r="R68" s="11" t="s">
        <v>179</v>
      </c>
      <c r="S68" s="9"/>
      <c r="T68" s="9"/>
      <c r="U68" s="9"/>
      <c r="V68" s="9"/>
      <c r="W68" s="9"/>
      <c r="X68" s="9"/>
      <c r="Y68" s="9"/>
    </row>
    <row r="69" hidden="1">
      <c r="A69" s="10">
        <v>45708.42957226852</v>
      </c>
      <c r="B69" s="10" t="str">
        <f t="shared" si="1"/>
        <v>Dan FisherQ3: December 2024 - February 20253RD3.D</v>
      </c>
      <c r="C69" s="11" t="s">
        <v>175</v>
      </c>
      <c r="D69" s="11" t="s">
        <v>176</v>
      </c>
      <c r="E69" s="11" t="s">
        <v>40</v>
      </c>
      <c r="F69" s="11" t="s">
        <v>177</v>
      </c>
      <c r="G69" s="11"/>
      <c r="H69" s="12"/>
      <c r="I69" s="11" t="s">
        <v>73</v>
      </c>
      <c r="J69" s="11" t="s">
        <v>24</v>
      </c>
      <c r="K69" s="13">
        <v>50.0</v>
      </c>
      <c r="L69" s="13">
        <v>100.0</v>
      </c>
      <c r="M69" s="14"/>
      <c r="N69" s="14"/>
      <c r="O69" s="14"/>
      <c r="P69" s="14"/>
      <c r="Q69" s="15">
        <f t="shared" si="10"/>
        <v>0.75</v>
      </c>
      <c r="R69" s="11" t="s">
        <v>180</v>
      </c>
      <c r="S69" s="9"/>
      <c r="T69" s="9"/>
      <c r="U69" s="9"/>
      <c r="V69" s="9"/>
      <c r="W69" s="9"/>
      <c r="X69" s="9"/>
      <c r="Y69" s="9"/>
    </row>
    <row r="70" hidden="1">
      <c r="A70" s="10">
        <v>45708.4312471875</v>
      </c>
      <c r="B70" s="10" t="str">
        <f t="shared" si="1"/>
        <v>Dan FisherQ3: December 2024 - February 20254TH1.D</v>
      </c>
      <c r="C70" s="11" t="s">
        <v>175</v>
      </c>
      <c r="D70" s="11" t="s">
        <v>176</v>
      </c>
      <c r="E70" s="11" t="s">
        <v>40</v>
      </c>
      <c r="F70" s="11" t="s">
        <v>177</v>
      </c>
      <c r="G70" s="11"/>
      <c r="H70" s="12"/>
      <c r="I70" s="11" t="s">
        <v>23</v>
      </c>
      <c r="J70" s="11" t="s">
        <v>59</v>
      </c>
      <c r="K70" s="13">
        <v>60.0</v>
      </c>
      <c r="L70" s="13">
        <v>100.0</v>
      </c>
      <c r="M70" s="14"/>
      <c r="N70" s="14"/>
      <c r="O70" s="14"/>
      <c r="P70" s="14"/>
      <c r="Q70" s="15">
        <f t="shared" si="10"/>
        <v>0.8</v>
      </c>
      <c r="R70" s="11" t="s">
        <v>181</v>
      </c>
      <c r="S70" s="9"/>
      <c r="T70" s="9"/>
      <c r="U70" s="9"/>
      <c r="V70" s="9"/>
      <c r="W70" s="9"/>
      <c r="X70" s="9"/>
      <c r="Y70" s="9"/>
    </row>
    <row r="71" hidden="1">
      <c r="A71" s="10">
        <v>45806.645854120376</v>
      </c>
      <c r="B71" s="10" t="str">
        <f t="shared" si="1"/>
        <v>Dan FisherQ4: March 2025 - May 20251ST2.A</v>
      </c>
      <c r="C71" s="11" t="s">
        <v>175</v>
      </c>
      <c r="D71" s="11" t="s">
        <v>176</v>
      </c>
      <c r="E71" s="11" t="s">
        <v>45</v>
      </c>
      <c r="F71" s="11" t="s">
        <v>177</v>
      </c>
      <c r="G71" s="11" t="s">
        <v>177</v>
      </c>
      <c r="H71" s="12"/>
      <c r="I71" s="19" t="s">
        <v>36</v>
      </c>
      <c r="J71" s="11" t="s">
        <v>32</v>
      </c>
      <c r="K71" s="11">
        <v>5.0</v>
      </c>
      <c r="L71" s="9"/>
      <c r="M71" s="9"/>
      <c r="N71" s="9"/>
      <c r="O71" s="9"/>
      <c r="P71" s="9"/>
      <c r="Q71" s="11">
        <v>5.0</v>
      </c>
      <c r="R71" s="11" t="s">
        <v>182</v>
      </c>
      <c r="S71" s="9"/>
      <c r="T71" s="9"/>
      <c r="U71" s="9"/>
      <c r="V71" s="9"/>
      <c r="W71" s="9"/>
      <c r="X71" s="9"/>
      <c r="Y71" s="9"/>
    </row>
    <row r="72" hidden="1">
      <c r="A72" s="10">
        <v>45806.64718943287</v>
      </c>
      <c r="B72" s="10" t="str">
        <f t="shared" si="1"/>
        <v>Dan FisherQ4: March 2025 - May 20252ND3.D</v>
      </c>
      <c r="C72" s="11" t="s">
        <v>175</v>
      </c>
      <c r="D72" s="11" t="s">
        <v>176</v>
      </c>
      <c r="E72" s="11" t="s">
        <v>45</v>
      </c>
      <c r="F72" s="11" t="s">
        <v>177</v>
      </c>
      <c r="G72" s="11" t="s">
        <v>177</v>
      </c>
      <c r="H72" s="12"/>
      <c r="I72" s="19" t="s">
        <v>73</v>
      </c>
      <c r="J72" s="11" t="s">
        <v>28</v>
      </c>
      <c r="K72" s="11">
        <v>50.0</v>
      </c>
      <c r="L72" s="9"/>
      <c r="M72" s="9"/>
      <c r="N72" s="9"/>
      <c r="O72" s="9"/>
      <c r="P72" s="9"/>
      <c r="Q72" s="11">
        <v>50.0</v>
      </c>
      <c r="R72" s="11" t="s">
        <v>183</v>
      </c>
      <c r="S72" s="9"/>
      <c r="T72" s="9"/>
      <c r="U72" s="9"/>
      <c r="V72" s="9"/>
      <c r="W72" s="9"/>
      <c r="X72" s="9"/>
      <c r="Y72" s="9"/>
    </row>
    <row r="73" hidden="1">
      <c r="A73" s="10">
        <v>45806.64815864583</v>
      </c>
      <c r="B73" s="10" t="str">
        <f t="shared" si="1"/>
        <v>Dan FisherQ4: March 2025 - May 20253RD3.C</v>
      </c>
      <c r="C73" s="11" t="s">
        <v>175</v>
      </c>
      <c r="D73" s="11" t="s">
        <v>176</v>
      </c>
      <c r="E73" s="11" t="s">
        <v>45</v>
      </c>
      <c r="F73" s="11" t="s">
        <v>177</v>
      </c>
      <c r="G73" s="11" t="s">
        <v>177</v>
      </c>
      <c r="H73" s="12"/>
      <c r="I73" s="19" t="s">
        <v>61</v>
      </c>
      <c r="J73" s="11" t="s">
        <v>24</v>
      </c>
      <c r="K73" s="11">
        <v>60.0</v>
      </c>
      <c r="L73" s="9"/>
      <c r="M73" s="9"/>
      <c r="N73" s="9"/>
      <c r="O73" s="9"/>
      <c r="P73" s="9"/>
      <c r="Q73" s="11">
        <v>60.0</v>
      </c>
      <c r="R73" s="11" t="s">
        <v>184</v>
      </c>
      <c r="S73" s="9"/>
      <c r="T73" s="9"/>
      <c r="U73" s="9"/>
      <c r="V73" s="9"/>
      <c r="W73" s="9"/>
      <c r="X73" s="9"/>
      <c r="Y73" s="9"/>
    </row>
    <row r="74" hidden="1">
      <c r="A74" s="10">
        <v>45525.63257027778</v>
      </c>
      <c r="B74" s="10" t="str">
        <f t="shared" si="1"/>
        <v>Dan FisherQ1: June 2024 - August 20241ST2.A</v>
      </c>
      <c r="C74" s="11" t="s">
        <v>175</v>
      </c>
      <c r="D74" s="11" t="s">
        <v>176</v>
      </c>
      <c r="E74" s="11" t="s">
        <v>21</v>
      </c>
      <c r="F74" s="11" t="s">
        <v>185</v>
      </c>
      <c r="G74" s="11" t="s">
        <v>177</v>
      </c>
      <c r="H74" s="12"/>
      <c r="I74" s="11" t="s">
        <v>36</v>
      </c>
      <c r="J74" s="11" t="s">
        <v>32</v>
      </c>
      <c r="K74" s="13">
        <v>30.0</v>
      </c>
      <c r="L74" s="13">
        <v>10.0</v>
      </c>
      <c r="M74" s="13">
        <v>50.0</v>
      </c>
      <c r="N74" s="13">
        <v>40.0</v>
      </c>
      <c r="O74" s="13">
        <v>30.0</v>
      </c>
      <c r="P74" s="13"/>
      <c r="Q74" s="15">
        <f t="shared" ref="Q74:Q84" si="11">AVERAGE(K74:P74)/100</f>
        <v>0.32</v>
      </c>
      <c r="R74" s="11" t="s">
        <v>186</v>
      </c>
      <c r="S74" s="9"/>
      <c r="T74" s="9"/>
      <c r="U74" s="9"/>
      <c r="V74" s="9"/>
      <c r="W74" s="9"/>
      <c r="X74" s="9"/>
      <c r="Y74" s="9"/>
    </row>
    <row r="75" hidden="1">
      <c r="A75" s="10">
        <v>45526.632569444446</v>
      </c>
      <c r="B75" s="10" t="str">
        <f t="shared" si="1"/>
        <v>Dan FisherQ1: June 2024 - August 20242ND3.D</v>
      </c>
      <c r="C75" s="11" t="s">
        <v>175</v>
      </c>
      <c r="D75" s="11" t="s">
        <v>176</v>
      </c>
      <c r="E75" s="11" t="s">
        <v>21</v>
      </c>
      <c r="F75" s="11" t="s">
        <v>185</v>
      </c>
      <c r="G75" s="11" t="s">
        <v>177</v>
      </c>
      <c r="H75" s="12"/>
      <c r="I75" s="11" t="s">
        <v>73</v>
      </c>
      <c r="J75" s="11" t="s">
        <v>28</v>
      </c>
      <c r="K75" s="13">
        <v>40.0</v>
      </c>
      <c r="L75" s="13">
        <v>30.0</v>
      </c>
      <c r="M75" s="13"/>
      <c r="N75" s="13"/>
      <c r="O75" s="13"/>
      <c r="P75" s="13"/>
      <c r="Q75" s="15">
        <f t="shared" si="11"/>
        <v>0.35</v>
      </c>
      <c r="R75" s="11" t="s">
        <v>187</v>
      </c>
      <c r="S75" s="9"/>
      <c r="T75" s="9"/>
      <c r="U75" s="9"/>
      <c r="V75" s="9"/>
      <c r="W75" s="9"/>
      <c r="X75" s="9"/>
      <c r="Y75" s="9"/>
    </row>
    <row r="76" hidden="1">
      <c r="A76" s="10">
        <v>45527.632569444446</v>
      </c>
      <c r="B76" s="10" t="str">
        <f t="shared" si="1"/>
        <v>Dan FisherQ1: June 2024 - August 20243RD3.C</v>
      </c>
      <c r="C76" s="11" t="s">
        <v>175</v>
      </c>
      <c r="D76" s="11" t="s">
        <v>176</v>
      </c>
      <c r="E76" s="11" t="s">
        <v>21</v>
      </c>
      <c r="F76" s="11" t="s">
        <v>185</v>
      </c>
      <c r="G76" s="11" t="s">
        <v>177</v>
      </c>
      <c r="H76" s="12"/>
      <c r="I76" s="11" t="s">
        <v>61</v>
      </c>
      <c r="J76" s="11" t="s">
        <v>24</v>
      </c>
      <c r="K76" s="13">
        <v>90.0</v>
      </c>
      <c r="L76" s="13"/>
      <c r="M76" s="13"/>
      <c r="N76" s="13"/>
      <c r="O76" s="13"/>
      <c r="P76" s="13"/>
      <c r="Q76" s="15">
        <f t="shared" si="11"/>
        <v>0.9</v>
      </c>
      <c r="R76" s="11" t="s">
        <v>188</v>
      </c>
      <c r="S76" s="9"/>
      <c r="T76" s="9"/>
      <c r="U76" s="9"/>
      <c r="V76" s="9"/>
      <c r="W76" s="9"/>
      <c r="X76" s="9"/>
      <c r="Y76" s="9"/>
    </row>
    <row r="77" hidden="1">
      <c r="A77" s="10">
        <v>45624.795303032406</v>
      </c>
      <c r="B77" s="10" t="str">
        <f t="shared" si="1"/>
        <v>Dan FisherQ2: September 2024 - November 20244TH1.D</v>
      </c>
      <c r="C77" s="11" t="s">
        <v>175</v>
      </c>
      <c r="D77" s="11" t="s">
        <v>176</v>
      </c>
      <c r="E77" s="11" t="s">
        <v>34</v>
      </c>
      <c r="F77" s="11" t="s">
        <v>185</v>
      </c>
      <c r="G77" s="11" t="s">
        <v>177</v>
      </c>
      <c r="H77" s="12"/>
      <c r="I77" s="11" t="s">
        <v>23</v>
      </c>
      <c r="J77" s="11" t="s">
        <v>59</v>
      </c>
      <c r="K77" s="13">
        <v>75.0</v>
      </c>
      <c r="L77" s="13">
        <v>75.0</v>
      </c>
      <c r="M77" s="13">
        <v>50.0</v>
      </c>
      <c r="N77" s="13">
        <v>50.0</v>
      </c>
      <c r="O77" s="14"/>
      <c r="P77" s="14"/>
      <c r="Q77" s="15">
        <f t="shared" si="11"/>
        <v>0.625</v>
      </c>
      <c r="R77" s="11" t="s">
        <v>189</v>
      </c>
      <c r="S77" s="9"/>
      <c r="T77" s="9"/>
      <c r="U77" s="9"/>
      <c r="V77" s="9"/>
      <c r="W77" s="9"/>
      <c r="X77" s="9"/>
      <c r="Y77" s="9"/>
    </row>
    <row r="78" hidden="1">
      <c r="A78" s="10">
        <v>45624.79396555555</v>
      </c>
      <c r="B78" s="10" t="str">
        <f t="shared" si="1"/>
        <v>Dan FisherQ2: September 2024 - November 20243RD3.C</v>
      </c>
      <c r="C78" s="11" t="s">
        <v>175</v>
      </c>
      <c r="D78" s="11" t="s">
        <v>176</v>
      </c>
      <c r="E78" s="11" t="s">
        <v>34</v>
      </c>
      <c r="F78" s="11" t="s">
        <v>185</v>
      </c>
      <c r="G78" s="11" t="s">
        <v>177</v>
      </c>
      <c r="H78" s="12"/>
      <c r="I78" s="11" t="s">
        <v>61</v>
      </c>
      <c r="J78" s="11" t="s">
        <v>24</v>
      </c>
      <c r="K78" s="13">
        <v>90.0</v>
      </c>
      <c r="L78" s="13">
        <v>0.0</v>
      </c>
      <c r="M78" s="14"/>
      <c r="N78" s="14"/>
      <c r="O78" s="14"/>
      <c r="P78" s="14"/>
      <c r="Q78" s="15">
        <f t="shared" si="11"/>
        <v>0.45</v>
      </c>
      <c r="R78" s="11" t="s">
        <v>190</v>
      </c>
      <c r="S78" s="9"/>
      <c r="T78" s="9"/>
      <c r="U78" s="9"/>
      <c r="V78" s="9"/>
      <c r="W78" s="9"/>
      <c r="X78" s="9"/>
      <c r="Y78" s="9"/>
    </row>
    <row r="79" hidden="1">
      <c r="A79" s="10">
        <v>45624.79592841435</v>
      </c>
      <c r="B79" s="10" t="str">
        <f t="shared" si="1"/>
        <v>Dan FisherQ2: September 2024 - November 20241ST2.A</v>
      </c>
      <c r="C79" s="11" t="s">
        <v>175</v>
      </c>
      <c r="D79" s="11" t="s">
        <v>176</v>
      </c>
      <c r="E79" s="11" t="s">
        <v>34</v>
      </c>
      <c r="F79" s="11" t="s">
        <v>185</v>
      </c>
      <c r="G79" s="11" t="s">
        <v>177</v>
      </c>
      <c r="H79" s="12"/>
      <c r="I79" s="11" t="s">
        <v>36</v>
      </c>
      <c r="J79" s="11" t="s">
        <v>32</v>
      </c>
      <c r="K79" s="13">
        <v>75.0</v>
      </c>
      <c r="L79" s="13">
        <v>65.0</v>
      </c>
      <c r="M79" s="14"/>
      <c r="N79" s="14"/>
      <c r="O79" s="14"/>
      <c r="P79" s="14"/>
      <c r="Q79" s="15">
        <f t="shared" si="11"/>
        <v>0.7</v>
      </c>
      <c r="R79" s="11" t="s">
        <v>191</v>
      </c>
      <c r="S79" s="9"/>
      <c r="T79" s="9"/>
      <c r="U79" s="9"/>
      <c r="V79" s="9"/>
      <c r="W79" s="9"/>
      <c r="X79" s="9"/>
      <c r="Y79" s="9"/>
    </row>
    <row r="80" hidden="1">
      <c r="A80" s="10">
        <v>45624.79658100694</v>
      </c>
      <c r="B80" s="10" t="str">
        <f t="shared" si="1"/>
        <v>Dan FisherQ2: September 2024 - November 20242ND3.D</v>
      </c>
      <c r="C80" s="11" t="s">
        <v>175</v>
      </c>
      <c r="D80" s="11" t="s">
        <v>176</v>
      </c>
      <c r="E80" s="11" t="s">
        <v>34</v>
      </c>
      <c r="F80" s="11" t="s">
        <v>185</v>
      </c>
      <c r="G80" s="11" t="s">
        <v>177</v>
      </c>
      <c r="H80" s="12"/>
      <c r="I80" s="11" t="s">
        <v>73</v>
      </c>
      <c r="J80" s="11" t="s">
        <v>28</v>
      </c>
      <c r="K80" s="13">
        <v>25.0</v>
      </c>
      <c r="L80" s="14"/>
      <c r="M80" s="14"/>
      <c r="N80" s="14"/>
      <c r="O80" s="14"/>
      <c r="P80" s="14"/>
      <c r="Q80" s="15">
        <f t="shared" si="11"/>
        <v>0.25</v>
      </c>
      <c r="R80" s="11" t="s">
        <v>192</v>
      </c>
      <c r="S80" s="9"/>
      <c r="T80" s="9"/>
      <c r="U80" s="9"/>
      <c r="V80" s="9"/>
      <c r="W80" s="9"/>
      <c r="X80" s="9"/>
      <c r="Y80" s="9"/>
    </row>
    <row r="81" hidden="1">
      <c r="A81" s="10">
        <v>45524.32614967592</v>
      </c>
      <c r="B81" s="10" t="str">
        <f t="shared" si="1"/>
        <v>David RoseQ1: June 2024 - August 20241ST3.B</v>
      </c>
      <c r="C81" s="11" t="s">
        <v>193</v>
      </c>
      <c r="D81" s="11" t="s">
        <v>194</v>
      </c>
      <c r="E81" s="11" t="s">
        <v>21</v>
      </c>
      <c r="F81" s="11" t="s">
        <v>195</v>
      </c>
      <c r="G81" s="9"/>
      <c r="H81" s="12"/>
      <c r="I81" s="11" t="s">
        <v>149</v>
      </c>
      <c r="J81" s="11" t="s">
        <v>32</v>
      </c>
      <c r="K81" s="13">
        <v>100.0</v>
      </c>
      <c r="L81" s="14"/>
      <c r="M81" s="14"/>
      <c r="N81" s="14"/>
      <c r="O81" s="14"/>
      <c r="P81" s="14"/>
      <c r="Q81" s="15">
        <f t="shared" si="11"/>
        <v>1</v>
      </c>
      <c r="R81" s="11" t="s">
        <v>196</v>
      </c>
      <c r="S81" s="9"/>
      <c r="T81" s="9"/>
      <c r="U81" s="9"/>
      <c r="V81" s="9"/>
      <c r="W81" s="9"/>
      <c r="X81" s="9"/>
      <c r="Y81" s="9"/>
    </row>
    <row r="82" hidden="1">
      <c r="A82" s="10">
        <v>45609.57534383102</v>
      </c>
      <c r="B82" s="10" t="str">
        <f t="shared" si="1"/>
        <v>David RoseQ2: September 2024 - November 20241ST3.B</v>
      </c>
      <c r="C82" s="11" t="s">
        <v>193</v>
      </c>
      <c r="D82" s="11" t="s">
        <v>194</v>
      </c>
      <c r="E82" s="11" t="s">
        <v>34</v>
      </c>
      <c r="F82" s="11" t="s">
        <v>195</v>
      </c>
      <c r="G82" s="9"/>
      <c r="H82" s="12"/>
      <c r="I82" s="11" t="s">
        <v>149</v>
      </c>
      <c r="J82" s="11" t="s">
        <v>32</v>
      </c>
      <c r="K82" s="13">
        <v>100.0</v>
      </c>
      <c r="L82" s="13">
        <v>90.0</v>
      </c>
      <c r="M82" s="14"/>
      <c r="N82" s="14"/>
      <c r="O82" s="14"/>
      <c r="P82" s="14"/>
      <c r="Q82" s="15">
        <f t="shared" si="11"/>
        <v>0.95</v>
      </c>
      <c r="R82" s="11" t="s">
        <v>197</v>
      </c>
      <c r="S82" s="9"/>
      <c r="T82" s="9"/>
      <c r="U82" s="9"/>
      <c r="V82" s="9"/>
      <c r="W82" s="9"/>
      <c r="X82" s="9"/>
      <c r="Y82" s="9"/>
    </row>
    <row r="83" hidden="1">
      <c r="A83" s="10">
        <v>45708.68682581019</v>
      </c>
      <c r="B83" s="10" t="str">
        <f t="shared" si="1"/>
        <v>David RoseQ3: December 2024 - February 20251ST3.B</v>
      </c>
      <c r="C83" s="11" t="s">
        <v>193</v>
      </c>
      <c r="D83" s="11" t="s">
        <v>194</v>
      </c>
      <c r="E83" s="11" t="s">
        <v>40</v>
      </c>
      <c r="F83" s="11" t="s">
        <v>195</v>
      </c>
      <c r="G83" s="9"/>
      <c r="H83" s="12"/>
      <c r="I83" s="11" t="s">
        <v>149</v>
      </c>
      <c r="J83" s="11" t="s">
        <v>32</v>
      </c>
      <c r="K83" s="13">
        <v>95.0</v>
      </c>
      <c r="L83" s="13">
        <v>50.0</v>
      </c>
      <c r="M83" s="14"/>
      <c r="N83" s="14"/>
      <c r="O83" s="14"/>
      <c r="P83" s="14"/>
      <c r="Q83" s="15">
        <f t="shared" si="11"/>
        <v>0.725</v>
      </c>
      <c r="R83" s="11" t="s">
        <v>198</v>
      </c>
      <c r="S83" s="9"/>
      <c r="T83" s="9"/>
      <c r="U83" s="9"/>
      <c r="V83" s="9"/>
      <c r="W83" s="9"/>
      <c r="X83" s="9"/>
      <c r="Y83" s="9"/>
    </row>
    <row r="84" hidden="1">
      <c r="A84" s="10">
        <v>45708.689213460646</v>
      </c>
      <c r="B84" s="10" t="str">
        <f t="shared" si="1"/>
        <v>David RoseQ3: December 2024 - February 20252ND3.B</v>
      </c>
      <c r="C84" s="11" t="s">
        <v>193</v>
      </c>
      <c r="D84" s="11" t="s">
        <v>194</v>
      </c>
      <c r="E84" s="11" t="s">
        <v>40</v>
      </c>
      <c r="F84" s="11" t="s">
        <v>195</v>
      </c>
      <c r="G84" s="9"/>
      <c r="H84" s="12"/>
      <c r="I84" s="11" t="s">
        <v>149</v>
      </c>
      <c r="J84" s="11" t="s">
        <v>28</v>
      </c>
      <c r="K84" s="13">
        <v>50.0</v>
      </c>
      <c r="L84" s="13">
        <v>50.0</v>
      </c>
      <c r="M84" s="13">
        <v>90.0</v>
      </c>
      <c r="N84" s="14"/>
      <c r="O84" s="14"/>
      <c r="P84" s="14"/>
      <c r="Q84" s="15">
        <f t="shared" si="11"/>
        <v>0.6333333333</v>
      </c>
      <c r="R84" s="11" t="s">
        <v>199</v>
      </c>
      <c r="S84" s="9"/>
      <c r="T84" s="9"/>
      <c r="U84" s="9"/>
      <c r="V84" s="9"/>
      <c r="W84" s="9"/>
      <c r="X84" s="9"/>
      <c r="Y84" s="9"/>
    </row>
    <row r="85" hidden="1">
      <c r="A85" s="10">
        <v>45811.53288883102</v>
      </c>
      <c r="B85" s="10" t="str">
        <f t="shared" si="1"/>
        <v>David RoseQ4: March 2025 - May 20251ST3.B</v>
      </c>
      <c r="C85" s="11" t="s">
        <v>193</v>
      </c>
      <c r="D85" s="11" t="s">
        <v>194</v>
      </c>
      <c r="E85" s="11" t="s">
        <v>45</v>
      </c>
      <c r="F85" s="11" t="s">
        <v>195</v>
      </c>
      <c r="G85" s="11" t="s">
        <v>200</v>
      </c>
      <c r="H85" s="12"/>
      <c r="I85" s="16" t="s">
        <v>149</v>
      </c>
      <c r="J85" s="11" t="s">
        <v>32</v>
      </c>
      <c r="K85" s="11">
        <v>75.0</v>
      </c>
      <c r="L85" s="11">
        <v>90.0</v>
      </c>
      <c r="M85" s="9"/>
      <c r="N85" s="9"/>
      <c r="O85" s="9"/>
      <c r="P85" s="9"/>
      <c r="Q85" s="11">
        <v>83.0</v>
      </c>
      <c r="R85" s="11" t="s">
        <v>201</v>
      </c>
      <c r="S85" s="9"/>
      <c r="T85" s="9"/>
      <c r="U85" s="9"/>
      <c r="V85" s="9"/>
      <c r="W85" s="9"/>
      <c r="X85" s="9"/>
      <c r="Y85" s="9"/>
    </row>
    <row r="86" hidden="1">
      <c r="A86" s="10">
        <v>45811.53557898148</v>
      </c>
      <c r="B86" s="10" t="str">
        <f t="shared" si="1"/>
        <v>David RoseQ4: March 2025 - May 20252ND3.B</v>
      </c>
      <c r="C86" s="11" t="s">
        <v>193</v>
      </c>
      <c r="D86" s="11" t="s">
        <v>194</v>
      </c>
      <c r="E86" s="11" t="s">
        <v>45</v>
      </c>
      <c r="F86" s="11" t="s">
        <v>195</v>
      </c>
      <c r="G86" s="11" t="s">
        <v>200</v>
      </c>
      <c r="H86" s="12"/>
      <c r="I86" s="16" t="s">
        <v>149</v>
      </c>
      <c r="J86" s="11" t="s">
        <v>28</v>
      </c>
      <c r="K86" s="11">
        <v>100.0</v>
      </c>
      <c r="L86" s="11">
        <v>100.0</v>
      </c>
      <c r="M86" s="9"/>
      <c r="N86" s="9"/>
      <c r="O86" s="9"/>
      <c r="P86" s="9"/>
      <c r="Q86" s="11">
        <v>100.0</v>
      </c>
      <c r="R86" s="11" t="s">
        <v>202</v>
      </c>
      <c r="S86" s="9"/>
      <c r="T86" s="9"/>
      <c r="U86" s="9"/>
      <c r="V86" s="9"/>
      <c r="W86" s="9"/>
      <c r="X86" s="9"/>
      <c r="Y86" s="9"/>
    </row>
    <row r="87" hidden="1">
      <c r="A87" s="10">
        <v>45811.537130902776</v>
      </c>
      <c r="B87" s="10" t="str">
        <f t="shared" si="1"/>
        <v>David RoseQ4: March 2025 - May 20253RD3.B</v>
      </c>
      <c r="C87" s="11" t="s">
        <v>193</v>
      </c>
      <c r="D87" s="11" t="s">
        <v>194</v>
      </c>
      <c r="E87" s="11" t="s">
        <v>45</v>
      </c>
      <c r="F87" s="11" t="s">
        <v>195</v>
      </c>
      <c r="G87" s="11" t="s">
        <v>203</v>
      </c>
      <c r="H87" s="12"/>
      <c r="I87" s="16" t="s">
        <v>149</v>
      </c>
      <c r="J87" s="11" t="s">
        <v>24</v>
      </c>
      <c r="K87" s="11">
        <v>100.0</v>
      </c>
      <c r="L87" s="11">
        <v>100.0</v>
      </c>
      <c r="M87" s="9"/>
      <c r="N87" s="9"/>
      <c r="O87" s="9"/>
      <c r="P87" s="9"/>
      <c r="Q87" s="11">
        <v>80.0</v>
      </c>
      <c r="R87" s="11" t="s">
        <v>204</v>
      </c>
      <c r="S87" s="9"/>
      <c r="T87" s="9"/>
      <c r="U87" s="9"/>
      <c r="V87" s="9"/>
      <c r="W87" s="9"/>
      <c r="X87" s="9"/>
      <c r="Y87" s="9"/>
    </row>
    <row r="88" hidden="1">
      <c r="A88" s="10">
        <v>45708.636403888886</v>
      </c>
      <c r="B88" s="10" t="str">
        <f t="shared" si="1"/>
        <v>DEAN MEADOWSQ3: December 2024 - February 20253RD2.C</v>
      </c>
      <c r="C88" s="11" t="s">
        <v>205</v>
      </c>
      <c r="D88" s="11" t="s">
        <v>206</v>
      </c>
      <c r="E88" s="11" t="s">
        <v>40</v>
      </c>
      <c r="F88" s="11" t="s">
        <v>207</v>
      </c>
      <c r="G88" s="9"/>
      <c r="H88" s="12"/>
      <c r="I88" s="11" t="s">
        <v>27</v>
      </c>
      <c r="J88" s="11" t="s">
        <v>24</v>
      </c>
      <c r="K88" s="13">
        <v>71.0</v>
      </c>
      <c r="L88" s="14"/>
      <c r="M88" s="14"/>
      <c r="N88" s="14"/>
      <c r="O88" s="14"/>
      <c r="P88" s="14"/>
      <c r="Q88" s="15">
        <f t="shared" ref="Q88:Q92" si="12">AVERAGE(K88:P88)/100</f>
        <v>0.71</v>
      </c>
      <c r="R88" s="11" t="s">
        <v>208</v>
      </c>
      <c r="S88" s="9"/>
      <c r="T88" s="9"/>
      <c r="U88" s="9"/>
      <c r="V88" s="9"/>
      <c r="W88" s="9"/>
      <c r="X88" s="9"/>
      <c r="Y88" s="9"/>
    </row>
    <row r="89" hidden="1">
      <c r="A89" s="10">
        <v>45712.460653194445</v>
      </c>
      <c r="B89" s="10" t="str">
        <f t="shared" si="1"/>
        <v>Dean MeadowsQ3: December 2024 - February 20251ST1.C</v>
      </c>
      <c r="C89" s="11" t="s">
        <v>209</v>
      </c>
      <c r="D89" s="11" t="s">
        <v>210</v>
      </c>
      <c r="E89" s="11" t="s">
        <v>40</v>
      </c>
      <c r="F89" s="11" t="s">
        <v>211</v>
      </c>
      <c r="G89" s="9"/>
      <c r="H89" s="12"/>
      <c r="I89" s="11" t="s">
        <v>42</v>
      </c>
      <c r="J89" s="11" t="s">
        <v>32</v>
      </c>
      <c r="K89" s="13">
        <v>90.0</v>
      </c>
      <c r="L89" s="13">
        <v>100.0</v>
      </c>
      <c r="M89" s="14"/>
      <c r="N89" s="14"/>
      <c r="O89" s="14"/>
      <c r="P89" s="14"/>
      <c r="Q89" s="15">
        <f t="shared" si="12"/>
        <v>0.95</v>
      </c>
      <c r="R89" s="11" t="s">
        <v>212</v>
      </c>
      <c r="S89" s="9"/>
      <c r="T89" s="9"/>
      <c r="U89" s="9"/>
      <c r="V89" s="9"/>
      <c r="W89" s="9"/>
      <c r="X89" s="9"/>
      <c r="Y89" s="9"/>
    </row>
    <row r="90" hidden="1">
      <c r="A90" s="10">
        <v>45712.461988599534</v>
      </c>
      <c r="B90" s="10" t="str">
        <f t="shared" si="1"/>
        <v>Dean MeadowsQ3: December 2024 - February 20252ND2.B</v>
      </c>
      <c r="C90" s="11" t="s">
        <v>209</v>
      </c>
      <c r="D90" s="11" t="s">
        <v>210</v>
      </c>
      <c r="E90" s="11" t="s">
        <v>40</v>
      </c>
      <c r="F90" s="11" t="s">
        <v>213</v>
      </c>
      <c r="G90" s="11"/>
      <c r="H90" s="12"/>
      <c r="I90" s="11" t="s">
        <v>83</v>
      </c>
      <c r="J90" s="11" t="s">
        <v>28</v>
      </c>
      <c r="K90" s="13">
        <v>45.0</v>
      </c>
      <c r="L90" s="14"/>
      <c r="M90" s="14"/>
      <c r="N90" s="14"/>
      <c r="O90" s="14"/>
      <c r="P90" s="14"/>
      <c r="Q90" s="15">
        <f t="shared" si="12"/>
        <v>0.45</v>
      </c>
      <c r="R90" s="11" t="s">
        <v>214</v>
      </c>
      <c r="S90" s="9"/>
      <c r="T90" s="9"/>
      <c r="U90" s="9"/>
      <c r="V90" s="9"/>
      <c r="W90" s="9"/>
      <c r="X90" s="9"/>
      <c r="Y90" s="9"/>
    </row>
    <row r="91" hidden="1">
      <c r="A91" s="10">
        <v>45608.62759447917</v>
      </c>
      <c r="B91" s="10" t="str">
        <f t="shared" si="1"/>
        <v>Dean MeadowsQ2: September 2024 - November 20242ND2.B</v>
      </c>
      <c r="C91" s="11" t="s">
        <v>209</v>
      </c>
      <c r="D91" s="11" t="s">
        <v>210</v>
      </c>
      <c r="E91" s="11" t="s">
        <v>34</v>
      </c>
      <c r="F91" s="11" t="s">
        <v>211</v>
      </c>
      <c r="G91" s="9"/>
      <c r="H91" s="12"/>
      <c r="I91" s="11" t="s">
        <v>83</v>
      </c>
      <c r="J91" s="11" t="s">
        <v>28</v>
      </c>
      <c r="K91" s="13">
        <v>40.0</v>
      </c>
      <c r="L91" s="14"/>
      <c r="M91" s="14"/>
      <c r="N91" s="14"/>
      <c r="O91" s="14"/>
      <c r="P91" s="14"/>
      <c r="Q91" s="15">
        <f t="shared" si="12"/>
        <v>0.4</v>
      </c>
      <c r="R91" s="11" t="s">
        <v>215</v>
      </c>
      <c r="S91" s="9"/>
      <c r="T91" s="9"/>
      <c r="U91" s="9"/>
      <c r="V91" s="9"/>
      <c r="W91" s="9"/>
      <c r="X91" s="9"/>
      <c r="Y91" s="9"/>
    </row>
    <row r="92" hidden="1">
      <c r="A92" s="10">
        <v>45608.624105219904</v>
      </c>
      <c r="B92" s="10" t="str">
        <f t="shared" si="1"/>
        <v>Dean MeadowsQ2: September 2024 - November 20241ST1.C</v>
      </c>
      <c r="C92" s="11" t="s">
        <v>209</v>
      </c>
      <c r="D92" s="11" t="s">
        <v>210</v>
      </c>
      <c r="E92" s="11" t="s">
        <v>34</v>
      </c>
      <c r="F92" s="11" t="s">
        <v>211</v>
      </c>
      <c r="G92" s="9"/>
      <c r="H92" s="12"/>
      <c r="I92" s="11" t="s">
        <v>42</v>
      </c>
      <c r="J92" s="11" t="s">
        <v>32</v>
      </c>
      <c r="K92" s="13">
        <v>90.0</v>
      </c>
      <c r="L92" s="13">
        <v>100.0</v>
      </c>
      <c r="M92" s="14"/>
      <c r="N92" s="14"/>
      <c r="O92" s="14"/>
      <c r="P92" s="14"/>
      <c r="Q92" s="15">
        <f t="shared" si="12"/>
        <v>0.95</v>
      </c>
      <c r="R92" s="11" t="s">
        <v>216</v>
      </c>
      <c r="S92" s="9"/>
      <c r="T92" s="9"/>
      <c r="U92" s="9"/>
      <c r="V92" s="9"/>
      <c r="W92" s="9"/>
      <c r="X92" s="9"/>
      <c r="Y92" s="9"/>
    </row>
    <row r="93" hidden="1">
      <c r="A93" s="10">
        <v>45807.387353032405</v>
      </c>
      <c r="B93" s="10" t="str">
        <f t="shared" si="1"/>
        <v>Dean MeadowsQ4: March 2025 - May 20251ST1.D</v>
      </c>
      <c r="C93" s="11" t="s">
        <v>209</v>
      </c>
      <c r="D93" s="11" t="s">
        <v>210</v>
      </c>
      <c r="E93" s="11" t="s">
        <v>45</v>
      </c>
      <c r="F93" s="11" t="s">
        <v>211</v>
      </c>
      <c r="G93" s="9"/>
      <c r="H93" s="12"/>
      <c r="I93" s="11" t="s">
        <v>23</v>
      </c>
      <c r="J93" s="11" t="s">
        <v>32</v>
      </c>
      <c r="K93" s="11">
        <v>100.0</v>
      </c>
      <c r="L93" s="11">
        <v>100.0</v>
      </c>
      <c r="M93" s="11">
        <v>80.0</v>
      </c>
      <c r="N93" s="9"/>
      <c r="O93" s="9"/>
      <c r="P93" s="9"/>
      <c r="Q93" s="11">
        <v>93.0</v>
      </c>
      <c r="R93" s="11" t="s">
        <v>217</v>
      </c>
      <c r="S93" s="9"/>
      <c r="T93" s="9"/>
      <c r="U93" s="9"/>
      <c r="V93" s="9"/>
      <c r="W93" s="9"/>
      <c r="X93" s="9"/>
      <c r="Y93" s="9"/>
    </row>
    <row r="94" hidden="1">
      <c r="A94" s="10">
        <v>45806.71089987268</v>
      </c>
      <c r="B94" s="10" t="str">
        <f t="shared" si="1"/>
        <v>Dean MeadowsQ4: March 2025 - May 20252ND1.C</v>
      </c>
      <c r="C94" s="11" t="s">
        <v>209</v>
      </c>
      <c r="D94" s="11" t="s">
        <v>210</v>
      </c>
      <c r="E94" s="11" t="s">
        <v>45</v>
      </c>
      <c r="F94" s="11" t="s">
        <v>211</v>
      </c>
      <c r="G94" s="9"/>
      <c r="H94" s="12"/>
      <c r="I94" s="11" t="s">
        <v>42</v>
      </c>
      <c r="J94" s="11" t="s">
        <v>28</v>
      </c>
      <c r="K94" s="11">
        <v>100.0</v>
      </c>
      <c r="L94" s="11">
        <v>75.0</v>
      </c>
      <c r="M94" s="9"/>
      <c r="N94" s="9"/>
      <c r="O94" s="9"/>
      <c r="P94" s="9"/>
      <c r="Q94" s="11">
        <v>88.0</v>
      </c>
      <c r="R94" s="11" t="s">
        <v>218</v>
      </c>
      <c r="S94" s="9"/>
      <c r="T94" s="9"/>
      <c r="U94" s="9"/>
      <c r="V94" s="9"/>
      <c r="W94" s="9"/>
      <c r="X94" s="9"/>
      <c r="Y94" s="9"/>
    </row>
    <row r="95" hidden="1">
      <c r="A95" s="10">
        <v>45807.384276909725</v>
      </c>
      <c r="B95" s="10" t="str">
        <f t="shared" si="1"/>
        <v>Dean MeadowsQ4: March 2025 - May 20253RD3.C</v>
      </c>
      <c r="C95" s="11" t="s">
        <v>209</v>
      </c>
      <c r="D95" s="11" t="s">
        <v>210</v>
      </c>
      <c r="E95" s="11" t="s">
        <v>45</v>
      </c>
      <c r="F95" s="11" t="s">
        <v>211</v>
      </c>
      <c r="G95" s="9"/>
      <c r="H95" s="12"/>
      <c r="I95" s="11" t="s">
        <v>61</v>
      </c>
      <c r="J95" s="11" t="s">
        <v>24</v>
      </c>
      <c r="K95" s="11">
        <v>100.0</v>
      </c>
      <c r="L95" s="11">
        <v>60.0</v>
      </c>
      <c r="M95" s="11">
        <v>100.0</v>
      </c>
      <c r="N95" s="11">
        <v>100.0</v>
      </c>
      <c r="O95" s="9"/>
      <c r="P95" s="9"/>
      <c r="Q95" s="11">
        <v>90.0</v>
      </c>
      <c r="R95" s="11" t="s">
        <v>219</v>
      </c>
      <c r="S95" s="9"/>
      <c r="T95" s="9"/>
      <c r="U95" s="9"/>
      <c r="V95" s="9"/>
      <c r="W95" s="9"/>
      <c r="X95" s="9"/>
      <c r="Y95" s="9"/>
    </row>
    <row r="96" hidden="1">
      <c r="A96" s="10">
        <v>45523.80397143518</v>
      </c>
      <c r="B96" s="10" t="str">
        <f t="shared" si="1"/>
        <v>Dean MeadowsQ1: June 2024 - August 20242ND2.B</v>
      </c>
      <c r="C96" s="11" t="s">
        <v>209</v>
      </c>
      <c r="D96" s="11" t="s">
        <v>210</v>
      </c>
      <c r="E96" s="11" t="s">
        <v>21</v>
      </c>
      <c r="F96" s="11" t="s">
        <v>220</v>
      </c>
      <c r="G96" s="9"/>
      <c r="H96" s="12"/>
      <c r="I96" s="11" t="s">
        <v>83</v>
      </c>
      <c r="J96" s="11" t="s">
        <v>28</v>
      </c>
      <c r="K96" s="13">
        <v>40.0</v>
      </c>
      <c r="L96" s="14"/>
      <c r="M96" s="14"/>
      <c r="N96" s="14"/>
      <c r="O96" s="14"/>
      <c r="P96" s="14"/>
      <c r="Q96" s="15">
        <f t="shared" ref="Q96:Q98" si="13">AVERAGE(K96:P96)/100</f>
        <v>0.4</v>
      </c>
      <c r="R96" s="11" t="s">
        <v>221</v>
      </c>
      <c r="S96" s="9"/>
      <c r="T96" s="9"/>
      <c r="U96" s="9"/>
      <c r="V96" s="9"/>
      <c r="W96" s="9"/>
      <c r="X96" s="9"/>
      <c r="Y96" s="9"/>
    </row>
    <row r="97" hidden="1">
      <c r="A97" s="10">
        <v>45523.80259954861</v>
      </c>
      <c r="B97" s="10" t="str">
        <f t="shared" si="1"/>
        <v>Dean MeadowsQ1: June 2024 - August 20241ST1.C</v>
      </c>
      <c r="C97" s="11" t="s">
        <v>209</v>
      </c>
      <c r="D97" s="11" t="s">
        <v>210</v>
      </c>
      <c r="E97" s="11" t="s">
        <v>21</v>
      </c>
      <c r="F97" s="11" t="s">
        <v>220</v>
      </c>
      <c r="G97" s="9"/>
      <c r="H97" s="12"/>
      <c r="I97" s="11" t="s">
        <v>42</v>
      </c>
      <c r="J97" s="11" t="s">
        <v>32</v>
      </c>
      <c r="K97" s="13">
        <v>90.0</v>
      </c>
      <c r="L97" s="14"/>
      <c r="M97" s="14"/>
      <c r="N97" s="14"/>
      <c r="O97" s="14"/>
      <c r="P97" s="14"/>
      <c r="Q97" s="15">
        <f t="shared" si="13"/>
        <v>0.9</v>
      </c>
      <c r="R97" s="11" t="s">
        <v>222</v>
      </c>
      <c r="S97" s="9"/>
      <c r="T97" s="9"/>
      <c r="U97" s="9"/>
      <c r="V97" s="9"/>
      <c r="W97" s="9"/>
      <c r="X97" s="9"/>
      <c r="Y97" s="9"/>
    </row>
    <row r="98" hidden="1">
      <c r="A98" s="10">
        <v>45608.62129407407</v>
      </c>
      <c r="B98" s="10" t="str">
        <f t="shared" si="1"/>
        <v>Dean MeadowsQ2: September 2024 - November 20243RD2.A</v>
      </c>
      <c r="C98" s="11" t="s">
        <v>209</v>
      </c>
      <c r="D98" s="11" t="s">
        <v>210</v>
      </c>
      <c r="E98" s="11" t="s">
        <v>34</v>
      </c>
      <c r="F98" s="11" t="s">
        <v>220</v>
      </c>
      <c r="G98" s="9"/>
      <c r="H98" s="12"/>
      <c r="I98" s="11" t="s">
        <v>36</v>
      </c>
      <c r="J98" s="11" t="s">
        <v>24</v>
      </c>
      <c r="K98" s="13">
        <v>90.0</v>
      </c>
      <c r="L98" s="13">
        <v>100.0</v>
      </c>
      <c r="M98" s="14"/>
      <c r="N98" s="14"/>
      <c r="O98" s="14"/>
      <c r="P98" s="14"/>
      <c r="Q98" s="15">
        <f t="shared" si="13"/>
        <v>0.95</v>
      </c>
      <c r="R98" s="11" t="s">
        <v>223</v>
      </c>
      <c r="S98" s="9"/>
      <c r="T98" s="9"/>
      <c r="U98" s="9"/>
      <c r="V98" s="9"/>
      <c r="W98" s="9"/>
      <c r="X98" s="9"/>
      <c r="Y98" s="9"/>
    </row>
    <row r="99" hidden="1">
      <c r="A99" s="11" t="s">
        <v>106</v>
      </c>
      <c r="B99" s="10" t="str">
        <f t="shared" si="1"/>
        <v>Dean MeadowsQ2: September 2024 - November 20244TH2.A</v>
      </c>
      <c r="C99" s="11" t="s">
        <v>209</v>
      </c>
      <c r="D99" s="11" t="s">
        <v>210</v>
      </c>
      <c r="E99" s="11" t="s">
        <v>34</v>
      </c>
      <c r="F99" s="11" t="s">
        <v>211</v>
      </c>
      <c r="G99" s="9"/>
      <c r="H99" s="9"/>
      <c r="I99" s="11" t="s">
        <v>36</v>
      </c>
      <c r="J99" s="11" t="s">
        <v>59</v>
      </c>
      <c r="K99" s="13">
        <v>53.0</v>
      </c>
      <c r="L99" s="14"/>
      <c r="M99" s="14"/>
      <c r="N99" s="14"/>
      <c r="O99" s="14"/>
      <c r="P99" s="14"/>
      <c r="Q99" s="18">
        <v>0.53</v>
      </c>
      <c r="R99" s="11" t="s">
        <v>224</v>
      </c>
      <c r="S99" s="9"/>
      <c r="T99" s="9"/>
      <c r="U99" s="9"/>
      <c r="V99" s="9"/>
      <c r="W99" s="9"/>
      <c r="X99" s="9"/>
      <c r="Y99" s="9"/>
    </row>
    <row r="100" hidden="1">
      <c r="A100" s="10">
        <v>45525.82417415509</v>
      </c>
      <c r="B100" s="10" t="str">
        <f t="shared" si="1"/>
        <v>Erica Alvarez-StantonQ1: June 2024 - August 20241ST2.C</v>
      </c>
      <c r="C100" s="11" t="s">
        <v>225</v>
      </c>
      <c r="D100" s="11" t="s">
        <v>226</v>
      </c>
      <c r="E100" s="11" t="s">
        <v>21</v>
      </c>
      <c r="F100" s="11" t="s">
        <v>227</v>
      </c>
      <c r="G100" s="11"/>
      <c r="H100" s="12"/>
      <c r="I100" s="11" t="s">
        <v>27</v>
      </c>
      <c r="J100" s="11" t="s">
        <v>32</v>
      </c>
      <c r="K100" s="13">
        <v>100.0</v>
      </c>
      <c r="L100" s="13">
        <v>85.0</v>
      </c>
      <c r="M100" s="14"/>
      <c r="N100" s="14"/>
      <c r="O100" s="14"/>
      <c r="P100" s="14"/>
      <c r="Q100" s="15">
        <f t="shared" ref="Q100:Q103" si="14">AVERAGE(K100:P100)/100</f>
        <v>0.925</v>
      </c>
      <c r="R100" s="11" t="s">
        <v>228</v>
      </c>
      <c r="S100" s="9"/>
      <c r="T100" s="9"/>
      <c r="U100" s="9"/>
      <c r="V100" s="9"/>
      <c r="W100" s="9"/>
      <c r="X100" s="9"/>
      <c r="Y100" s="9"/>
    </row>
    <row r="101" hidden="1">
      <c r="A101" s="10">
        <v>45525.83105368055</v>
      </c>
      <c r="B101" s="10" t="str">
        <f t="shared" si="1"/>
        <v>Erica Alvarez-StantonQ1: June 2024 - August 20242ND3.A</v>
      </c>
      <c r="C101" s="11" t="s">
        <v>225</v>
      </c>
      <c r="D101" s="11" t="s">
        <v>226</v>
      </c>
      <c r="E101" s="11" t="s">
        <v>21</v>
      </c>
      <c r="F101" s="11" t="s">
        <v>227</v>
      </c>
      <c r="G101" s="9"/>
      <c r="H101" s="12"/>
      <c r="I101" s="11" t="s">
        <v>94</v>
      </c>
      <c r="J101" s="11" t="s">
        <v>28</v>
      </c>
      <c r="K101" s="13">
        <v>78.0</v>
      </c>
      <c r="L101" s="14"/>
      <c r="M101" s="14"/>
      <c r="N101" s="14"/>
      <c r="O101" s="14"/>
      <c r="P101" s="14"/>
      <c r="Q101" s="15">
        <f t="shared" si="14"/>
        <v>0.78</v>
      </c>
      <c r="R101" s="11" t="s">
        <v>229</v>
      </c>
      <c r="S101" s="9"/>
      <c r="T101" s="9"/>
      <c r="U101" s="9"/>
      <c r="V101" s="9"/>
      <c r="W101" s="9"/>
      <c r="X101" s="9"/>
      <c r="Y101" s="9"/>
    </row>
    <row r="102" hidden="1">
      <c r="A102" s="10">
        <v>45608.47953215278</v>
      </c>
      <c r="B102" s="10" t="str">
        <f t="shared" si="1"/>
        <v>Erica Alvarez-StantonQ2: September 2024 - November 20242ND2.C</v>
      </c>
      <c r="C102" s="11" t="s">
        <v>225</v>
      </c>
      <c r="D102" s="11" t="s">
        <v>226</v>
      </c>
      <c r="E102" s="11" t="s">
        <v>34</v>
      </c>
      <c r="F102" s="11" t="s">
        <v>227</v>
      </c>
      <c r="G102" s="9"/>
      <c r="H102" s="12"/>
      <c r="I102" s="11" t="s">
        <v>27</v>
      </c>
      <c r="J102" s="11" t="s">
        <v>28</v>
      </c>
      <c r="K102" s="13">
        <v>60.0</v>
      </c>
      <c r="L102" s="14"/>
      <c r="M102" s="14"/>
      <c r="N102" s="14"/>
      <c r="O102" s="14"/>
      <c r="P102" s="14"/>
      <c r="Q102" s="15">
        <f t="shared" si="14"/>
        <v>0.6</v>
      </c>
      <c r="R102" s="11" t="s">
        <v>230</v>
      </c>
      <c r="S102" s="9"/>
      <c r="T102" s="9"/>
      <c r="U102" s="9"/>
      <c r="V102" s="9"/>
      <c r="W102" s="9"/>
      <c r="X102" s="9"/>
      <c r="Y102" s="9"/>
    </row>
    <row r="103" hidden="1">
      <c r="A103" s="10">
        <v>45708.40924616898</v>
      </c>
      <c r="B103" s="10" t="str">
        <f t="shared" si="1"/>
        <v>Erica Alvarez-StantonQ3: December 2024 - February 20251ST1.D</v>
      </c>
      <c r="C103" s="11" t="s">
        <v>225</v>
      </c>
      <c r="D103" s="11" t="s">
        <v>226</v>
      </c>
      <c r="E103" s="11" t="s">
        <v>40</v>
      </c>
      <c r="F103" s="11" t="s">
        <v>227</v>
      </c>
      <c r="G103" s="11" t="s">
        <v>231</v>
      </c>
      <c r="H103" s="12"/>
      <c r="I103" s="11" t="s">
        <v>23</v>
      </c>
      <c r="J103" s="11" t="s">
        <v>32</v>
      </c>
      <c r="K103" s="13">
        <v>100.0</v>
      </c>
      <c r="L103" s="13">
        <v>100.0</v>
      </c>
      <c r="M103" s="14"/>
      <c r="N103" s="14"/>
      <c r="O103" s="14"/>
      <c r="P103" s="14"/>
      <c r="Q103" s="15">
        <f t="shared" si="14"/>
        <v>1</v>
      </c>
      <c r="R103" s="11" t="s">
        <v>232</v>
      </c>
      <c r="S103" s="9"/>
      <c r="T103" s="9"/>
      <c r="U103" s="9"/>
      <c r="V103" s="9"/>
      <c r="W103" s="9"/>
      <c r="X103" s="9"/>
      <c r="Y103" s="9"/>
    </row>
    <row r="104" hidden="1">
      <c r="A104" s="10">
        <v>45798.62814451389</v>
      </c>
      <c r="B104" s="10" t="str">
        <f t="shared" si="1"/>
        <v>Erica Alvarez-StantonQ4: March 2025 - May 20251st2.B</v>
      </c>
      <c r="C104" s="11" t="s">
        <v>225</v>
      </c>
      <c r="D104" s="11" t="s">
        <v>226</v>
      </c>
      <c r="E104" s="11" t="s">
        <v>45</v>
      </c>
      <c r="F104" s="11" t="s">
        <v>227</v>
      </c>
      <c r="G104" s="9"/>
      <c r="H104" s="12"/>
      <c r="I104" s="11" t="s">
        <v>83</v>
      </c>
      <c r="J104" s="11" t="s">
        <v>233</v>
      </c>
      <c r="K104" s="11">
        <v>80.0</v>
      </c>
      <c r="L104" s="9"/>
      <c r="M104" s="9"/>
      <c r="N104" s="9"/>
      <c r="O104" s="9"/>
      <c r="P104" s="9"/>
      <c r="Q104" s="11">
        <v>80.0</v>
      </c>
      <c r="R104" s="11" t="s">
        <v>234</v>
      </c>
      <c r="S104" s="9"/>
      <c r="T104" s="9"/>
      <c r="U104" s="9"/>
      <c r="V104" s="9"/>
      <c r="W104" s="9"/>
      <c r="X104" s="9"/>
      <c r="Y104" s="9"/>
    </row>
    <row r="105" hidden="1">
      <c r="A105" s="10">
        <v>45523.680410243054</v>
      </c>
      <c r="B105" s="10" t="str">
        <f t="shared" si="1"/>
        <v>ESTHER REHBEINQ1: June 2024 - August 20241ST2.C</v>
      </c>
      <c r="C105" s="11" t="s">
        <v>235</v>
      </c>
      <c r="D105" s="11" t="s">
        <v>236</v>
      </c>
      <c r="E105" s="11" t="s">
        <v>21</v>
      </c>
      <c r="F105" s="11" t="s">
        <v>237</v>
      </c>
      <c r="G105" s="11"/>
      <c r="H105" s="12"/>
      <c r="I105" s="11" t="s">
        <v>27</v>
      </c>
      <c r="J105" s="11" t="s">
        <v>32</v>
      </c>
      <c r="K105" s="13">
        <v>75.0</v>
      </c>
      <c r="L105" s="14"/>
      <c r="M105" s="14"/>
      <c r="N105" s="14"/>
      <c r="O105" s="14"/>
      <c r="P105" s="14"/>
      <c r="Q105" s="15">
        <f t="shared" ref="Q105:Q119" si="15">AVERAGE(K105:P105)/100</f>
        <v>0.75</v>
      </c>
      <c r="R105" s="11" t="s">
        <v>238</v>
      </c>
      <c r="S105" s="9"/>
      <c r="T105" s="9"/>
      <c r="U105" s="9"/>
      <c r="V105" s="9"/>
      <c r="W105" s="9"/>
      <c r="X105" s="9"/>
      <c r="Y105" s="9"/>
    </row>
    <row r="106" hidden="1">
      <c r="A106" s="10">
        <v>45523.45097253472</v>
      </c>
      <c r="B106" s="10" t="str">
        <f t="shared" si="1"/>
        <v>Esther RehbeinQ1: June 2024 - August 20242ND1.A</v>
      </c>
      <c r="C106" s="11" t="s">
        <v>239</v>
      </c>
      <c r="D106" s="11" t="s">
        <v>240</v>
      </c>
      <c r="E106" s="11" t="s">
        <v>21</v>
      </c>
      <c r="F106" s="11" t="s">
        <v>241</v>
      </c>
      <c r="G106" s="11" t="s">
        <v>242</v>
      </c>
      <c r="H106" s="12"/>
      <c r="I106" s="11" t="s">
        <v>56</v>
      </c>
      <c r="J106" s="11" t="s">
        <v>28</v>
      </c>
      <c r="K106" s="13">
        <v>100.0</v>
      </c>
      <c r="L106" s="14"/>
      <c r="M106" s="14"/>
      <c r="N106" s="14"/>
      <c r="O106" s="14"/>
      <c r="P106" s="14"/>
      <c r="Q106" s="15">
        <f t="shared" si="15"/>
        <v>1</v>
      </c>
      <c r="R106" s="11" t="s">
        <v>243</v>
      </c>
      <c r="S106" s="9"/>
      <c r="T106" s="9"/>
      <c r="U106" s="9"/>
      <c r="V106" s="9"/>
      <c r="W106" s="9"/>
      <c r="X106" s="9"/>
      <c r="Y106" s="9"/>
    </row>
    <row r="107" hidden="1">
      <c r="A107" s="10">
        <v>45525.613950810184</v>
      </c>
      <c r="B107" s="10" t="str">
        <f t="shared" si="1"/>
        <v>Garret CastleberryQ1: June 2024 - August 20243RD1.D</v>
      </c>
      <c r="C107" s="11" t="s">
        <v>244</v>
      </c>
      <c r="D107" s="11" t="s">
        <v>245</v>
      </c>
      <c r="E107" s="11" t="s">
        <v>21</v>
      </c>
      <c r="F107" s="11" t="s">
        <v>246</v>
      </c>
      <c r="G107" s="11"/>
      <c r="H107" s="12"/>
      <c r="I107" s="11" t="s">
        <v>23</v>
      </c>
      <c r="J107" s="11" t="s">
        <v>24</v>
      </c>
      <c r="K107" s="13">
        <v>100.0</v>
      </c>
      <c r="L107" s="14"/>
      <c r="M107" s="14"/>
      <c r="N107" s="14"/>
      <c r="O107" s="14"/>
      <c r="P107" s="14"/>
      <c r="Q107" s="15">
        <f t="shared" si="15"/>
        <v>1</v>
      </c>
      <c r="R107" s="11" t="s">
        <v>247</v>
      </c>
      <c r="S107" s="9"/>
      <c r="T107" s="9"/>
      <c r="U107" s="9"/>
      <c r="V107" s="9"/>
      <c r="W107" s="9"/>
      <c r="X107" s="9"/>
      <c r="Y107" s="9"/>
    </row>
    <row r="108" hidden="1">
      <c r="A108" s="10">
        <v>45631.66655201389</v>
      </c>
      <c r="B108" s="10" t="str">
        <f t="shared" si="1"/>
        <v>Garret CastleberryQ2: September 2024 - November 20243RD1.D</v>
      </c>
      <c r="C108" s="11" t="s">
        <v>244</v>
      </c>
      <c r="D108" s="11" t="s">
        <v>245</v>
      </c>
      <c r="E108" s="11" t="s">
        <v>34</v>
      </c>
      <c r="F108" s="11" t="s">
        <v>246</v>
      </c>
      <c r="G108" s="11"/>
      <c r="H108" s="12"/>
      <c r="I108" s="11" t="s">
        <v>23</v>
      </c>
      <c r="J108" s="11" t="s">
        <v>24</v>
      </c>
      <c r="K108" s="13">
        <v>100.0</v>
      </c>
      <c r="L108" s="14"/>
      <c r="M108" s="14"/>
      <c r="N108" s="14"/>
      <c r="O108" s="14"/>
      <c r="P108" s="14"/>
      <c r="Q108" s="15">
        <f t="shared" si="15"/>
        <v>1</v>
      </c>
      <c r="R108" s="11" t="s">
        <v>248</v>
      </c>
      <c r="S108" s="9"/>
      <c r="T108" s="9"/>
      <c r="U108" s="9"/>
      <c r="V108" s="9"/>
      <c r="W108" s="9"/>
      <c r="X108" s="9"/>
      <c r="Y108" s="9"/>
    </row>
    <row r="109" hidden="1">
      <c r="A109" s="10">
        <v>45607.612476145834</v>
      </c>
      <c r="B109" s="10" t="str">
        <f t="shared" si="1"/>
        <v>Garret CastleberryQ2: September 2024 - November 20243RD1.D</v>
      </c>
      <c r="C109" s="11" t="s">
        <v>244</v>
      </c>
      <c r="D109" s="11" t="s">
        <v>245</v>
      </c>
      <c r="E109" s="11" t="s">
        <v>34</v>
      </c>
      <c r="F109" s="11" t="s">
        <v>246</v>
      </c>
      <c r="G109" s="11"/>
      <c r="H109" s="12"/>
      <c r="I109" s="11" t="s">
        <v>23</v>
      </c>
      <c r="J109" s="11" t="s">
        <v>24</v>
      </c>
      <c r="K109" s="13">
        <v>100.0</v>
      </c>
      <c r="L109" s="14"/>
      <c r="M109" s="14"/>
      <c r="N109" s="14"/>
      <c r="O109" s="14"/>
      <c r="P109" s="14"/>
      <c r="Q109" s="15">
        <f t="shared" si="15"/>
        <v>1</v>
      </c>
      <c r="R109" s="11" t="s">
        <v>249</v>
      </c>
      <c r="S109" s="9"/>
      <c r="T109" s="9"/>
      <c r="U109" s="9"/>
      <c r="V109" s="9"/>
      <c r="W109" s="9"/>
      <c r="X109" s="9"/>
      <c r="Y109" s="9"/>
    </row>
    <row r="110" hidden="1">
      <c r="A110" s="10">
        <v>45607.60868185185</v>
      </c>
      <c r="B110" s="10" t="str">
        <f t="shared" si="1"/>
        <v>Garret CastleberryQ2: September 2024 - November 20241ST2.C,2.D,3.C</v>
      </c>
      <c r="C110" s="11" t="s">
        <v>244</v>
      </c>
      <c r="D110" s="11" t="s">
        <v>245</v>
      </c>
      <c r="E110" s="11" t="s">
        <v>34</v>
      </c>
      <c r="F110" s="11" t="s">
        <v>246</v>
      </c>
      <c r="G110" s="11"/>
      <c r="H110" s="12"/>
      <c r="I110" s="11" t="s">
        <v>250</v>
      </c>
      <c r="J110" s="11" t="s">
        <v>32</v>
      </c>
      <c r="K110" s="13">
        <v>50.0</v>
      </c>
      <c r="L110" s="14"/>
      <c r="M110" s="14"/>
      <c r="N110" s="14"/>
      <c r="O110" s="14"/>
      <c r="P110" s="14"/>
      <c r="Q110" s="15">
        <f t="shared" si="15"/>
        <v>0.5</v>
      </c>
      <c r="R110" s="11" t="s">
        <v>251</v>
      </c>
      <c r="S110" s="9"/>
      <c r="T110" s="9"/>
      <c r="U110" s="9"/>
      <c r="V110" s="9"/>
      <c r="W110" s="9"/>
      <c r="X110" s="9"/>
      <c r="Y110" s="9"/>
    </row>
    <row r="111" hidden="1">
      <c r="A111" s="10">
        <v>45607.62270219908</v>
      </c>
      <c r="B111" s="10" t="str">
        <f t="shared" si="1"/>
        <v>Garret CastleberryQ2: September 2024 - November 20244TH2.C</v>
      </c>
      <c r="C111" s="11" t="s">
        <v>244</v>
      </c>
      <c r="D111" s="11" t="s">
        <v>245</v>
      </c>
      <c r="E111" s="11" t="s">
        <v>34</v>
      </c>
      <c r="F111" s="11" t="s">
        <v>246</v>
      </c>
      <c r="G111" s="11"/>
      <c r="H111" s="12"/>
      <c r="I111" s="11" t="s">
        <v>27</v>
      </c>
      <c r="J111" s="11" t="s">
        <v>59</v>
      </c>
      <c r="K111" s="13">
        <v>5.0</v>
      </c>
      <c r="L111" s="14"/>
      <c r="M111" s="14"/>
      <c r="N111" s="14"/>
      <c r="O111" s="14"/>
      <c r="P111" s="14"/>
      <c r="Q111" s="15">
        <f t="shared" si="15"/>
        <v>0.05</v>
      </c>
      <c r="R111" s="11" t="s">
        <v>252</v>
      </c>
      <c r="S111" s="9"/>
      <c r="T111" s="9"/>
      <c r="U111" s="9"/>
      <c r="V111" s="9"/>
      <c r="W111" s="9"/>
      <c r="X111" s="9"/>
      <c r="Y111" s="9"/>
    </row>
    <row r="112" hidden="1">
      <c r="A112" s="10">
        <v>45607.62065927083</v>
      </c>
      <c r="B112" s="10" t="str">
        <f t="shared" si="1"/>
        <v>Garret CastleberryQ2: September 2024 - November 20242ND3.C</v>
      </c>
      <c r="C112" s="11" t="s">
        <v>244</v>
      </c>
      <c r="D112" s="11" t="s">
        <v>245</v>
      </c>
      <c r="E112" s="11" t="s">
        <v>34</v>
      </c>
      <c r="F112" s="11" t="s">
        <v>246</v>
      </c>
      <c r="G112" s="11"/>
      <c r="H112" s="12"/>
      <c r="I112" s="11" t="s">
        <v>61</v>
      </c>
      <c r="J112" s="11" t="s">
        <v>28</v>
      </c>
      <c r="K112" s="13">
        <v>15.0</v>
      </c>
      <c r="L112" s="14"/>
      <c r="M112" s="14"/>
      <c r="N112" s="14"/>
      <c r="O112" s="14"/>
      <c r="P112" s="14"/>
      <c r="Q112" s="15">
        <f t="shared" si="15"/>
        <v>0.15</v>
      </c>
      <c r="R112" s="11" t="s">
        <v>253</v>
      </c>
      <c r="S112" s="9"/>
      <c r="T112" s="9"/>
      <c r="U112" s="9"/>
      <c r="V112" s="9"/>
      <c r="W112" s="9"/>
      <c r="X112" s="9"/>
      <c r="Y112" s="9"/>
    </row>
    <row r="113" hidden="1">
      <c r="A113" s="10">
        <v>45631.663662384264</v>
      </c>
      <c r="B113" s="10" t="str">
        <f t="shared" si="1"/>
        <v>Garret CastleberryQ2: September 2024 - November 20241ST2.C, 2.D, 3.C</v>
      </c>
      <c r="C113" s="11" t="s">
        <v>244</v>
      </c>
      <c r="D113" s="11" t="s">
        <v>245</v>
      </c>
      <c r="E113" s="11" t="s">
        <v>34</v>
      </c>
      <c r="F113" s="11" t="s">
        <v>246</v>
      </c>
      <c r="G113" s="11"/>
      <c r="H113" s="12"/>
      <c r="I113" s="11" t="s">
        <v>254</v>
      </c>
      <c r="J113" s="11" t="s">
        <v>32</v>
      </c>
      <c r="K113" s="13">
        <v>100.0</v>
      </c>
      <c r="L113" s="14"/>
      <c r="M113" s="14"/>
      <c r="N113" s="14"/>
      <c r="O113" s="14"/>
      <c r="P113" s="14"/>
      <c r="Q113" s="15">
        <f t="shared" si="15"/>
        <v>1</v>
      </c>
      <c r="R113" s="11" t="s">
        <v>255</v>
      </c>
      <c r="S113" s="9"/>
      <c r="T113" s="9"/>
      <c r="U113" s="9"/>
      <c r="V113" s="9"/>
      <c r="W113" s="9"/>
      <c r="X113" s="9"/>
      <c r="Y113" s="9"/>
    </row>
    <row r="114" hidden="1">
      <c r="A114" s="10">
        <v>45631.66783197917</v>
      </c>
      <c r="B114" s="10" t="str">
        <f t="shared" si="1"/>
        <v>Garret CastleberryQ2: September 2024 - November 20244TH2.C</v>
      </c>
      <c r="C114" s="11" t="s">
        <v>244</v>
      </c>
      <c r="D114" s="11" t="s">
        <v>245</v>
      </c>
      <c r="E114" s="11" t="s">
        <v>34</v>
      </c>
      <c r="F114" s="11" t="s">
        <v>246</v>
      </c>
      <c r="G114" s="11"/>
      <c r="H114" s="12"/>
      <c r="I114" s="11" t="s">
        <v>27</v>
      </c>
      <c r="J114" s="11" t="s">
        <v>59</v>
      </c>
      <c r="K114" s="13">
        <v>5.0</v>
      </c>
      <c r="L114" s="14"/>
      <c r="M114" s="14"/>
      <c r="N114" s="14"/>
      <c r="O114" s="14"/>
      <c r="P114" s="14"/>
      <c r="Q114" s="15">
        <f t="shared" si="15"/>
        <v>0.05</v>
      </c>
      <c r="R114" s="11" t="s">
        <v>256</v>
      </c>
      <c r="S114" s="9"/>
      <c r="T114" s="9"/>
      <c r="U114" s="9"/>
      <c r="V114" s="9"/>
      <c r="W114" s="9"/>
      <c r="X114" s="9"/>
      <c r="Y114" s="9"/>
    </row>
    <row r="115" hidden="1">
      <c r="A115" s="10">
        <v>45631.66519756944</v>
      </c>
      <c r="B115" s="10" t="str">
        <f t="shared" si="1"/>
        <v>Garret CastleberryQ2: September 2024 - November 20242ND3.C</v>
      </c>
      <c r="C115" s="11" t="s">
        <v>244</v>
      </c>
      <c r="D115" s="11" t="s">
        <v>245</v>
      </c>
      <c r="E115" s="11" t="s">
        <v>34</v>
      </c>
      <c r="F115" s="11" t="s">
        <v>246</v>
      </c>
      <c r="G115" s="11"/>
      <c r="H115" s="12"/>
      <c r="I115" s="11" t="s">
        <v>61</v>
      </c>
      <c r="J115" s="11" t="s">
        <v>28</v>
      </c>
      <c r="K115" s="13">
        <v>15.0</v>
      </c>
      <c r="L115" s="14"/>
      <c r="M115" s="14"/>
      <c r="N115" s="14"/>
      <c r="O115" s="14"/>
      <c r="P115" s="14"/>
      <c r="Q115" s="15">
        <f t="shared" si="15"/>
        <v>0.15</v>
      </c>
      <c r="R115" s="11" t="s">
        <v>257</v>
      </c>
      <c r="S115" s="9"/>
      <c r="T115" s="9"/>
      <c r="U115" s="9"/>
      <c r="V115" s="9"/>
      <c r="W115" s="9"/>
      <c r="X115" s="9"/>
      <c r="Y115" s="9"/>
    </row>
    <row r="116" hidden="1">
      <c r="A116" s="10">
        <v>45708.44853314815</v>
      </c>
      <c r="B116" s="10" t="str">
        <f t="shared" si="1"/>
        <v>Garret CastleberryQ3: December 2024 - February 20251ST1.A, 2.C, 2.D, 3.C</v>
      </c>
      <c r="C116" s="11" t="s">
        <v>244</v>
      </c>
      <c r="D116" s="11" t="s">
        <v>245</v>
      </c>
      <c r="E116" s="11" t="s">
        <v>40</v>
      </c>
      <c r="F116" s="11" t="s">
        <v>246</v>
      </c>
      <c r="G116" s="9"/>
      <c r="H116" s="12"/>
      <c r="I116" s="11" t="s">
        <v>258</v>
      </c>
      <c r="J116" s="11" t="s">
        <v>32</v>
      </c>
      <c r="K116" s="13">
        <v>100.0</v>
      </c>
      <c r="L116" s="14"/>
      <c r="M116" s="14"/>
      <c r="N116" s="14"/>
      <c r="O116" s="14"/>
      <c r="P116" s="14"/>
      <c r="Q116" s="15">
        <f t="shared" si="15"/>
        <v>1</v>
      </c>
      <c r="R116" s="11" t="s">
        <v>259</v>
      </c>
      <c r="S116" s="9"/>
      <c r="T116" s="9"/>
      <c r="U116" s="9"/>
      <c r="V116" s="9"/>
      <c r="W116" s="9"/>
      <c r="X116" s="9"/>
      <c r="Y116" s="9"/>
    </row>
    <row r="117" hidden="1">
      <c r="A117" s="10">
        <v>45708.45362840278</v>
      </c>
      <c r="B117" s="10" t="str">
        <f t="shared" si="1"/>
        <v>Garret CastleberryQ3: December 2024 - February 20253RD1.D</v>
      </c>
      <c r="C117" s="11" t="s">
        <v>244</v>
      </c>
      <c r="D117" s="11" t="s">
        <v>245</v>
      </c>
      <c r="E117" s="11" t="s">
        <v>40</v>
      </c>
      <c r="F117" s="11" t="s">
        <v>246</v>
      </c>
      <c r="G117" s="9"/>
      <c r="H117" s="12"/>
      <c r="I117" s="11" t="s">
        <v>23</v>
      </c>
      <c r="J117" s="11" t="s">
        <v>24</v>
      </c>
      <c r="K117" s="13">
        <v>15.0</v>
      </c>
      <c r="L117" s="14"/>
      <c r="M117" s="14"/>
      <c r="N117" s="14"/>
      <c r="O117" s="14"/>
      <c r="P117" s="14"/>
      <c r="Q117" s="15">
        <f t="shared" si="15"/>
        <v>0.15</v>
      </c>
      <c r="R117" s="11" t="s">
        <v>260</v>
      </c>
      <c r="S117" s="9"/>
      <c r="T117" s="9"/>
      <c r="U117" s="9"/>
      <c r="V117" s="9"/>
      <c r="W117" s="9"/>
      <c r="X117" s="9"/>
      <c r="Y117" s="9"/>
    </row>
    <row r="118" hidden="1">
      <c r="A118" s="10">
        <v>45708.45167552083</v>
      </c>
      <c r="B118" s="10" t="str">
        <f t="shared" si="1"/>
        <v>Garret CastleberryQ3: December 2024 - February 20252ND3.C</v>
      </c>
      <c r="C118" s="11" t="s">
        <v>244</v>
      </c>
      <c r="D118" s="11" t="s">
        <v>245</v>
      </c>
      <c r="E118" s="11" t="s">
        <v>40</v>
      </c>
      <c r="F118" s="11" t="s">
        <v>246</v>
      </c>
      <c r="G118" s="9"/>
      <c r="H118" s="12"/>
      <c r="I118" s="11" t="s">
        <v>61</v>
      </c>
      <c r="J118" s="11" t="s">
        <v>28</v>
      </c>
      <c r="K118" s="13">
        <v>15.0</v>
      </c>
      <c r="L118" s="14"/>
      <c r="M118" s="14"/>
      <c r="N118" s="14"/>
      <c r="O118" s="14"/>
      <c r="P118" s="14"/>
      <c r="Q118" s="15">
        <f t="shared" si="15"/>
        <v>0.15</v>
      </c>
      <c r="R118" s="11" t="s">
        <v>261</v>
      </c>
      <c r="S118" s="9"/>
      <c r="T118" s="9"/>
      <c r="U118" s="9"/>
      <c r="V118" s="9"/>
      <c r="W118" s="9"/>
      <c r="X118" s="9"/>
      <c r="Y118" s="9"/>
    </row>
    <row r="119" hidden="1">
      <c r="A119" s="10">
        <v>45708.45624135417</v>
      </c>
      <c r="B119" s="10" t="str">
        <f t="shared" si="1"/>
        <v>Garret CastleberryQ3: December 2024 - February 20254TH2.C</v>
      </c>
      <c r="C119" s="11" t="s">
        <v>244</v>
      </c>
      <c r="D119" s="11" t="s">
        <v>245</v>
      </c>
      <c r="E119" s="11" t="s">
        <v>40</v>
      </c>
      <c r="F119" s="11" t="s">
        <v>246</v>
      </c>
      <c r="G119" s="9"/>
      <c r="H119" s="12"/>
      <c r="I119" s="11" t="s">
        <v>27</v>
      </c>
      <c r="J119" s="11" t="s">
        <v>59</v>
      </c>
      <c r="K119" s="13">
        <v>5.0</v>
      </c>
      <c r="L119" s="14"/>
      <c r="M119" s="14"/>
      <c r="N119" s="14"/>
      <c r="O119" s="14"/>
      <c r="P119" s="14"/>
      <c r="Q119" s="15">
        <f t="shared" si="15"/>
        <v>0.05</v>
      </c>
      <c r="R119" s="11" t="s">
        <v>262</v>
      </c>
      <c r="S119" s="9"/>
      <c r="T119" s="9"/>
      <c r="U119" s="9"/>
      <c r="V119" s="9"/>
      <c r="W119" s="9"/>
      <c r="X119" s="9"/>
      <c r="Y119" s="9"/>
    </row>
    <row r="120" hidden="1">
      <c r="A120" s="10">
        <v>45797.58977844907</v>
      </c>
      <c r="B120" s="10" t="str">
        <f t="shared" si="1"/>
        <v>Garret CastleberryQ4: March 2025 - May 20253RD1.D</v>
      </c>
      <c r="C120" s="11" t="s">
        <v>244</v>
      </c>
      <c r="D120" s="11" t="s">
        <v>245</v>
      </c>
      <c r="E120" s="11" t="s">
        <v>45</v>
      </c>
      <c r="F120" s="11" t="s">
        <v>246</v>
      </c>
      <c r="G120" s="9"/>
      <c r="H120" s="12"/>
      <c r="I120" s="11" t="s">
        <v>23</v>
      </c>
      <c r="J120" s="11" t="s">
        <v>24</v>
      </c>
      <c r="K120" s="11">
        <v>5.0</v>
      </c>
      <c r="L120" s="9"/>
      <c r="M120" s="9"/>
      <c r="N120" s="9"/>
      <c r="O120" s="9"/>
      <c r="P120" s="9"/>
      <c r="Q120" s="11">
        <v>5.0</v>
      </c>
      <c r="R120" s="11" t="s">
        <v>263</v>
      </c>
      <c r="S120" s="9"/>
      <c r="T120" s="9"/>
      <c r="U120" s="9"/>
      <c r="V120" s="9"/>
      <c r="W120" s="9"/>
      <c r="X120" s="9"/>
      <c r="Y120" s="9"/>
    </row>
    <row r="121" hidden="1">
      <c r="A121" s="10">
        <v>45797.5863919213</v>
      </c>
      <c r="B121" s="10" t="str">
        <f t="shared" si="1"/>
        <v>Garret CastleberryQ4: March 2025 - May 20251ST2.C</v>
      </c>
      <c r="C121" s="11" t="s">
        <v>244</v>
      </c>
      <c r="D121" s="11" t="s">
        <v>245</v>
      </c>
      <c r="E121" s="11" t="s">
        <v>45</v>
      </c>
      <c r="F121" s="11" t="s">
        <v>246</v>
      </c>
      <c r="G121" s="9"/>
      <c r="H121" s="12"/>
      <c r="I121" s="11" t="s">
        <v>27</v>
      </c>
      <c r="J121" s="11" t="s">
        <v>32</v>
      </c>
      <c r="K121" s="11">
        <v>100.0</v>
      </c>
      <c r="L121" s="9"/>
      <c r="M121" s="9"/>
      <c r="N121" s="9"/>
      <c r="O121" s="9"/>
      <c r="P121" s="9"/>
      <c r="Q121" s="11">
        <v>100.0</v>
      </c>
      <c r="R121" s="11" t="s">
        <v>264</v>
      </c>
      <c r="S121" s="9"/>
      <c r="T121" s="9"/>
      <c r="U121" s="9"/>
      <c r="V121" s="9"/>
      <c r="W121" s="9"/>
      <c r="X121" s="9"/>
      <c r="Y121" s="9"/>
    </row>
    <row r="122" hidden="1">
      <c r="A122" s="10">
        <v>45797.58845701389</v>
      </c>
      <c r="B122" s="10" t="str">
        <f t="shared" si="1"/>
        <v>Garret CastleberryQ4: March 2025 - May 20252ND3.C</v>
      </c>
      <c r="C122" s="11" t="s">
        <v>244</v>
      </c>
      <c r="D122" s="11" t="s">
        <v>245</v>
      </c>
      <c r="E122" s="11" t="s">
        <v>45</v>
      </c>
      <c r="F122" s="11" t="s">
        <v>246</v>
      </c>
      <c r="G122" s="9"/>
      <c r="H122" s="12"/>
      <c r="I122" s="11" t="s">
        <v>61</v>
      </c>
      <c r="J122" s="11" t="s">
        <v>28</v>
      </c>
      <c r="K122" s="11">
        <v>100.0</v>
      </c>
      <c r="L122" s="9"/>
      <c r="M122" s="9"/>
      <c r="N122" s="9"/>
      <c r="O122" s="9"/>
      <c r="P122" s="9"/>
      <c r="Q122" s="11">
        <v>100.0</v>
      </c>
      <c r="R122" s="11" t="s">
        <v>265</v>
      </c>
      <c r="S122" s="9"/>
      <c r="T122" s="9"/>
      <c r="U122" s="9"/>
      <c r="V122" s="9"/>
      <c r="W122" s="9"/>
      <c r="X122" s="9"/>
      <c r="Y122" s="9"/>
    </row>
    <row r="123" hidden="1">
      <c r="A123" s="10">
        <v>45606.78371674768</v>
      </c>
      <c r="B123" s="10" t="str">
        <f t="shared" si="1"/>
        <v>Glenne' WhisenhuntQ2: September 2024 - November 20241ST3.B</v>
      </c>
      <c r="C123" s="11" t="s">
        <v>235</v>
      </c>
      <c r="D123" s="11" t="s">
        <v>266</v>
      </c>
      <c r="E123" s="11" t="s">
        <v>34</v>
      </c>
      <c r="F123" s="11" t="s">
        <v>241</v>
      </c>
      <c r="G123" s="11" t="s">
        <v>241</v>
      </c>
      <c r="H123" s="12"/>
      <c r="I123" s="11" t="s">
        <v>149</v>
      </c>
      <c r="J123" s="11" t="s">
        <v>32</v>
      </c>
      <c r="K123" s="13">
        <v>100.0</v>
      </c>
      <c r="L123" s="13">
        <v>100.0</v>
      </c>
      <c r="M123" s="14"/>
      <c r="N123" s="14"/>
      <c r="O123" s="14"/>
      <c r="P123" s="14"/>
      <c r="Q123" s="15">
        <f t="shared" ref="Q123:Q125" si="16">AVERAGE(K123:P123)/100</f>
        <v>1</v>
      </c>
      <c r="R123" s="11" t="s">
        <v>267</v>
      </c>
      <c r="S123" s="9"/>
      <c r="T123" s="9"/>
      <c r="U123" s="9"/>
      <c r="V123" s="9"/>
      <c r="W123" s="9"/>
      <c r="X123" s="9"/>
      <c r="Y123" s="9"/>
    </row>
    <row r="124" hidden="1">
      <c r="A124" s="10">
        <v>45606.790279849534</v>
      </c>
      <c r="B124" s="10" t="str">
        <f t="shared" si="1"/>
        <v>Glenne' WhisenhuntQ2: September 2024 - November 20242ND2.C</v>
      </c>
      <c r="C124" s="11" t="s">
        <v>235</v>
      </c>
      <c r="D124" s="11" t="s">
        <v>266</v>
      </c>
      <c r="E124" s="11" t="s">
        <v>34</v>
      </c>
      <c r="F124" s="11" t="s">
        <v>241</v>
      </c>
      <c r="G124" s="11" t="s">
        <v>268</v>
      </c>
      <c r="H124" s="12"/>
      <c r="I124" s="11" t="s">
        <v>27</v>
      </c>
      <c r="J124" s="11" t="s">
        <v>28</v>
      </c>
      <c r="K124" s="13">
        <v>0.0</v>
      </c>
      <c r="L124" s="13">
        <v>100.0</v>
      </c>
      <c r="M124" s="14"/>
      <c r="N124" s="14"/>
      <c r="O124" s="14"/>
      <c r="P124" s="14"/>
      <c r="Q124" s="15">
        <f t="shared" si="16"/>
        <v>0.5</v>
      </c>
      <c r="R124" s="11" t="s">
        <v>269</v>
      </c>
      <c r="S124" s="9"/>
      <c r="T124" s="9"/>
      <c r="U124" s="9"/>
      <c r="V124" s="9"/>
      <c r="W124" s="9"/>
      <c r="X124" s="9"/>
      <c r="Y124" s="9"/>
    </row>
    <row r="125" hidden="1">
      <c r="A125" s="10">
        <v>45701.53998475695</v>
      </c>
      <c r="B125" s="10" t="str">
        <f t="shared" si="1"/>
        <v>Glenne' WhisenhuntQ3: December 2024 - February 20251ST3.B</v>
      </c>
      <c r="C125" s="11" t="s">
        <v>235</v>
      </c>
      <c r="D125" s="11" t="s">
        <v>266</v>
      </c>
      <c r="E125" s="11" t="s">
        <v>40</v>
      </c>
      <c r="F125" s="11" t="s">
        <v>241</v>
      </c>
      <c r="G125" s="11" t="s">
        <v>268</v>
      </c>
      <c r="H125" s="12"/>
      <c r="I125" s="11" t="s">
        <v>149</v>
      </c>
      <c r="J125" s="11" t="s">
        <v>32</v>
      </c>
      <c r="K125" s="13">
        <v>25.0</v>
      </c>
      <c r="L125" s="13">
        <v>25.0</v>
      </c>
      <c r="M125" s="14"/>
      <c r="N125" s="14"/>
      <c r="O125" s="14"/>
      <c r="P125" s="14"/>
      <c r="Q125" s="15">
        <f t="shared" si="16"/>
        <v>0.25</v>
      </c>
      <c r="R125" s="11" t="s">
        <v>270</v>
      </c>
      <c r="S125" s="9"/>
      <c r="T125" s="9"/>
      <c r="U125" s="9"/>
      <c r="V125" s="9"/>
      <c r="W125" s="9"/>
      <c r="X125" s="9"/>
      <c r="Y125" s="9"/>
    </row>
    <row r="126" hidden="1">
      <c r="A126" s="10">
        <v>45796.49801657407</v>
      </c>
      <c r="B126" s="10" t="str">
        <f t="shared" si="1"/>
        <v>Glenne' WhisenhuntQ4: March 2025 - May 20251ST3.B</v>
      </c>
      <c r="C126" s="11" t="s">
        <v>235</v>
      </c>
      <c r="D126" s="11" t="s">
        <v>266</v>
      </c>
      <c r="E126" s="11" t="s">
        <v>45</v>
      </c>
      <c r="F126" s="11" t="s">
        <v>241</v>
      </c>
      <c r="G126" s="11" t="s">
        <v>241</v>
      </c>
      <c r="H126" s="12"/>
      <c r="I126" s="11" t="s">
        <v>149</v>
      </c>
      <c r="J126" s="11" t="s">
        <v>32</v>
      </c>
      <c r="K126" s="11">
        <v>80.0</v>
      </c>
      <c r="L126" s="9"/>
      <c r="M126" s="9"/>
      <c r="N126" s="9"/>
      <c r="O126" s="9"/>
      <c r="P126" s="9"/>
      <c r="Q126" s="11">
        <v>80.0</v>
      </c>
      <c r="R126" s="11" t="s">
        <v>271</v>
      </c>
      <c r="S126" s="9"/>
      <c r="T126" s="9"/>
      <c r="U126" s="9"/>
      <c r="V126" s="9"/>
      <c r="W126" s="9"/>
      <c r="X126" s="9"/>
      <c r="Y126" s="9"/>
    </row>
    <row r="127" hidden="1">
      <c r="A127" s="10">
        <v>45793.59517394676</v>
      </c>
      <c r="B127" s="10" t="str">
        <f t="shared" si="1"/>
        <v>Grace GandyQ4: March 2025 - May 20254TH1.A, 1.D</v>
      </c>
      <c r="C127" s="11" t="s">
        <v>272</v>
      </c>
      <c r="D127" s="11" t="s">
        <v>273</v>
      </c>
      <c r="E127" s="11" t="s">
        <v>45</v>
      </c>
      <c r="F127" s="11" t="s">
        <v>89</v>
      </c>
      <c r="G127" s="11" t="s">
        <v>90</v>
      </c>
      <c r="H127" s="12"/>
      <c r="I127" s="11" t="s">
        <v>124</v>
      </c>
      <c r="J127" s="11" t="s">
        <v>59</v>
      </c>
      <c r="K127" s="11">
        <v>100.0</v>
      </c>
      <c r="L127" s="11">
        <v>60.0</v>
      </c>
      <c r="M127" s="9"/>
      <c r="N127" s="9"/>
      <c r="O127" s="9"/>
      <c r="P127" s="9"/>
      <c r="Q127" s="11">
        <v>80.0</v>
      </c>
      <c r="R127" s="11" t="s">
        <v>274</v>
      </c>
      <c r="S127" s="9"/>
      <c r="T127" s="9"/>
      <c r="U127" s="9"/>
      <c r="V127" s="9"/>
      <c r="W127" s="9"/>
      <c r="X127" s="9"/>
      <c r="Y127" s="9"/>
    </row>
    <row r="128" hidden="1">
      <c r="A128" s="10">
        <v>45607.49525011574</v>
      </c>
      <c r="B128" s="10" t="str">
        <f t="shared" si="1"/>
        <v>Hannah MoellerQ2: September 2024 - November 20241ST3.B</v>
      </c>
      <c r="C128" s="11" t="s">
        <v>275</v>
      </c>
      <c r="D128" s="11" t="s">
        <v>276</v>
      </c>
      <c r="E128" s="11" t="s">
        <v>34</v>
      </c>
      <c r="F128" s="11" t="s">
        <v>277</v>
      </c>
      <c r="G128" s="11" t="s">
        <v>278</v>
      </c>
      <c r="H128" s="12"/>
      <c r="I128" s="11" t="s">
        <v>149</v>
      </c>
      <c r="J128" s="11" t="s">
        <v>32</v>
      </c>
      <c r="K128" s="13">
        <v>100.0</v>
      </c>
      <c r="L128" s="14"/>
      <c r="M128" s="14"/>
      <c r="N128" s="14"/>
      <c r="O128" s="14"/>
      <c r="P128" s="14"/>
      <c r="Q128" s="15">
        <f t="shared" ref="Q128:Q134" si="17">AVERAGE(K128:P128)/100</f>
        <v>1</v>
      </c>
      <c r="R128" s="11" t="s">
        <v>279</v>
      </c>
      <c r="S128" s="9"/>
      <c r="T128" s="9"/>
      <c r="U128" s="9"/>
      <c r="V128" s="9"/>
      <c r="W128" s="9"/>
      <c r="X128" s="9"/>
      <c r="Y128" s="9"/>
    </row>
    <row r="129" hidden="1">
      <c r="A129" s="10">
        <v>45519.52162339121</v>
      </c>
      <c r="B129" s="10" t="str">
        <f t="shared" si="1"/>
        <v>Hannah Moeller Q1: June 2024 - August 20242ND1.A, 1.C, 1.D, 2.D</v>
      </c>
      <c r="C129" s="11" t="s">
        <v>275</v>
      </c>
      <c r="D129" s="11" t="s">
        <v>280</v>
      </c>
      <c r="E129" s="11" t="s">
        <v>21</v>
      </c>
      <c r="F129" s="11" t="s">
        <v>277</v>
      </c>
      <c r="G129" s="11" t="s">
        <v>281</v>
      </c>
      <c r="H129" s="12"/>
      <c r="I129" s="11" t="s">
        <v>282</v>
      </c>
      <c r="J129" s="11" t="s">
        <v>28</v>
      </c>
      <c r="K129" s="13">
        <v>90.0</v>
      </c>
      <c r="L129" s="14"/>
      <c r="M129" s="14"/>
      <c r="N129" s="14"/>
      <c r="O129" s="14"/>
      <c r="P129" s="14"/>
      <c r="Q129" s="15">
        <f t="shared" si="17"/>
        <v>0.9</v>
      </c>
      <c r="R129" s="11" t="s">
        <v>283</v>
      </c>
      <c r="S129" s="9"/>
      <c r="T129" s="9"/>
      <c r="U129" s="9"/>
      <c r="V129" s="9"/>
      <c r="W129" s="9"/>
      <c r="X129" s="9"/>
      <c r="Y129" s="9"/>
    </row>
    <row r="130" hidden="1">
      <c r="A130" s="10">
        <v>45523.4336649537</v>
      </c>
      <c r="B130" s="10" t="str">
        <f t="shared" si="1"/>
        <v>Harold KihegaQ1: June 2024 - August 20242ND1.A</v>
      </c>
      <c r="C130" s="11" t="s">
        <v>284</v>
      </c>
      <c r="D130" s="11" t="s">
        <v>285</v>
      </c>
      <c r="E130" s="11" t="s">
        <v>21</v>
      </c>
      <c r="F130" s="11" t="s">
        <v>129</v>
      </c>
      <c r="G130" s="11" t="s">
        <v>286</v>
      </c>
      <c r="H130" s="12"/>
      <c r="I130" s="11" t="s">
        <v>56</v>
      </c>
      <c r="J130" s="11" t="s">
        <v>28</v>
      </c>
      <c r="K130" s="13">
        <v>100.0</v>
      </c>
      <c r="L130" s="14"/>
      <c r="M130" s="14"/>
      <c r="N130" s="14"/>
      <c r="O130" s="14"/>
      <c r="P130" s="14"/>
      <c r="Q130" s="15">
        <f t="shared" si="17"/>
        <v>1</v>
      </c>
      <c r="R130" s="11" t="s">
        <v>287</v>
      </c>
      <c r="S130" s="9"/>
      <c r="T130" s="9"/>
      <c r="U130" s="9"/>
      <c r="V130" s="9"/>
      <c r="W130" s="9"/>
      <c r="X130" s="9"/>
      <c r="Y130" s="9"/>
    </row>
    <row r="131" hidden="1">
      <c r="A131" s="10">
        <v>45523.435456921296</v>
      </c>
      <c r="B131" s="10" t="str">
        <f t="shared" si="1"/>
        <v>Harold KihegaQ1: June 2024 - August 20243RD2.C</v>
      </c>
      <c r="C131" s="11" t="s">
        <v>284</v>
      </c>
      <c r="D131" s="11" t="s">
        <v>285</v>
      </c>
      <c r="E131" s="11" t="s">
        <v>21</v>
      </c>
      <c r="F131" s="11" t="s">
        <v>129</v>
      </c>
      <c r="G131" s="11" t="s">
        <v>288</v>
      </c>
      <c r="H131" s="12"/>
      <c r="I131" s="11" t="s">
        <v>27</v>
      </c>
      <c r="J131" s="11" t="s">
        <v>24</v>
      </c>
      <c r="K131" s="13">
        <v>80.0</v>
      </c>
      <c r="L131" s="14"/>
      <c r="M131" s="14"/>
      <c r="N131" s="14"/>
      <c r="O131" s="14"/>
      <c r="P131" s="14"/>
      <c r="Q131" s="15">
        <f t="shared" si="17"/>
        <v>0.8</v>
      </c>
      <c r="R131" s="11" t="s">
        <v>289</v>
      </c>
      <c r="S131" s="9"/>
      <c r="T131" s="9"/>
      <c r="U131" s="9"/>
      <c r="V131" s="9"/>
      <c r="W131" s="9"/>
      <c r="X131" s="9"/>
      <c r="Y131" s="9"/>
    </row>
    <row r="132" hidden="1">
      <c r="A132" s="10">
        <v>45607.46581789352</v>
      </c>
      <c r="B132" s="10" t="str">
        <f t="shared" si="1"/>
        <v>Harold KihegaQ2: September 2024 - November 20241ST3.C</v>
      </c>
      <c r="C132" s="11" t="s">
        <v>284</v>
      </c>
      <c r="D132" s="11" t="s">
        <v>285</v>
      </c>
      <c r="E132" s="11" t="s">
        <v>34</v>
      </c>
      <c r="F132" s="11" t="s">
        <v>129</v>
      </c>
      <c r="G132" s="11" t="s">
        <v>290</v>
      </c>
      <c r="H132" s="12"/>
      <c r="I132" s="11" t="s">
        <v>61</v>
      </c>
      <c r="J132" s="11" t="s">
        <v>32</v>
      </c>
      <c r="K132" s="13">
        <v>50.0</v>
      </c>
      <c r="L132" s="14"/>
      <c r="M132" s="14"/>
      <c r="N132" s="14"/>
      <c r="O132" s="14"/>
      <c r="P132" s="14"/>
      <c r="Q132" s="15">
        <f t="shared" si="17"/>
        <v>0.5</v>
      </c>
      <c r="R132" s="11" t="s">
        <v>291</v>
      </c>
      <c r="S132" s="9"/>
      <c r="T132" s="9"/>
      <c r="U132" s="9"/>
      <c r="V132" s="9"/>
      <c r="W132" s="9"/>
      <c r="X132" s="9"/>
      <c r="Y132" s="9"/>
    </row>
    <row r="133" hidden="1">
      <c r="A133" s="10">
        <v>45701.515338032405</v>
      </c>
      <c r="B133" s="10" t="str">
        <f t="shared" si="1"/>
        <v>Harold KihegaQ3: December 2024 - February 20251ST3.C</v>
      </c>
      <c r="C133" s="11" t="s">
        <v>284</v>
      </c>
      <c r="D133" s="11" t="s">
        <v>285</v>
      </c>
      <c r="E133" s="11" t="s">
        <v>40</v>
      </c>
      <c r="F133" s="11" t="s">
        <v>129</v>
      </c>
      <c r="G133" s="9"/>
      <c r="H133" s="12"/>
      <c r="I133" s="11" t="s">
        <v>61</v>
      </c>
      <c r="J133" s="11" t="s">
        <v>32</v>
      </c>
      <c r="K133" s="13">
        <v>90.0</v>
      </c>
      <c r="L133" s="14"/>
      <c r="M133" s="13">
        <v>70.0</v>
      </c>
      <c r="N133" s="14"/>
      <c r="O133" s="14"/>
      <c r="P133" s="14"/>
      <c r="Q133" s="15">
        <f t="shared" si="17"/>
        <v>0.8</v>
      </c>
      <c r="R133" s="11" t="s">
        <v>292</v>
      </c>
      <c r="S133" s="9"/>
      <c r="T133" s="9"/>
      <c r="U133" s="9"/>
      <c r="V133" s="9"/>
      <c r="W133" s="9"/>
      <c r="X133" s="9"/>
      <c r="Y133" s="9"/>
    </row>
    <row r="134" hidden="1">
      <c r="A134" s="10">
        <v>45701.515338032405</v>
      </c>
      <c r="B134" s="10" t="str">
        <f t="shared" si="1"/>
        <v>Harold KihegaQ3: December 2024 - February 20253RD3.C</v>
      </c>
      <c r="C134" s="11" t="s">
        <v>284</v>
      </c>
      <c r="D134" s="11" t="s">
        <v>285</v>
      </c>
      <c r="E134" s="11" t="s">
        <v>40</v>
      </c>
      <c r="F134" s="11" t="s">
        <v>129</v>
      </c>
      <c r="G134" s="9"/>
      <c r="H134" s="12"/>
      <c r="I134" s="11" t="s">
        <v>61</v>
      </c>
      <c r="J134" s="11" t="s">
        <v>24</v>
      </c>
      <c r="K134" s="13">
        <v>90.0</v>
      </c>
      <c r="L134" s="14"/>
      <c r="M134" s="13">
        <v>70.0</v>
      </c>
      <c r="N134" s="14"/>
      <c r="O134" s="14"/>
      <c r="P134" s="14"/>
      <c r="Q134" s="15">
        <f t="shared" si="17"/>
        <v>0.8</v>
      </c>
      <c r="R134" s="11" t="s">
        <v>292</v>
      </c>
      <c r="S134" s="9"/>
      <c r="T134" s="9"/>
      <c r="U134" s="9"/>
      <c r="V134" s="9"/>
      <c r="W134" s="9"/>
      <c r="X134" s="9"/>
      <c r="Y134" s="9"/>
    </row>
    <row r="135" hidden="1">
      <c r="A135" s="10">
        <v>45792.415661747684</v>
      </c>
      <c r="B135" s="10" t="str">
        <f t="shared" si="1"/>
        <v>Harold KihegaQ4: March 2025 - May 20252ND3.C</v>
      </c>
      <c r="C135" s="11" t="s">
        <v>284</v>
      </c>
      <c r="D135" s="11" t="s">
        <v>285</v>
      </c>
      <c r="E135" s="11" t="s">
        <v>45</v>
      </c>
      <c r="F135" s="11" t="s">
        <v>129</v>
      </c>
      <c r="G135" s="9"/>
      <c r="H135" s="12"/>
      <c r="I135" s="11" t="s">
        <v>61</v>
      </c>
      <c r="J135" s="11" t="s">
        <v>28</v>
      </c>
      <c r="K135" s="11">
        <v>100.0</v>
      </c>
      <c r="L135" s="9"/>
      <c r="M135" s="9"/>
      <c r="N135" s="9"/>
      <c r="O135" s="9"/>
      <c r="P135" s="9"/>
      <c r="Q135" s="11">
        <v>100.0</v>
      </c>
      <c r="R135" s="11" t="s">
        <v>293</v>
      </c>
      <c r="S135" s="9"/>
      <c r="T135" s="9"/>
      <c r="U135" s="9"/>
      <c r="V135" s="9"/>
      <c r="W135" s="9"/>
      <c r="X135" s="9"/>
      <c r="Y135" s="9"/>
    </row>
    <row r="136" hidden="1">
      <c r="A136" s="10">
        <v>45525.66488814815</v>
      </c>
      <c r="B136" s="10" t="str">
        <f t="shared" si="1"/>
        <v>Ashley GotcherQ1: June 2024 - August 20243RD3.D</v>
      </c>
      <c r="C136" s="11" t="s">
        <v>294</v>
      </c>
      <c r="D136" s="11" t="s">
        <v>50</v>
      </c>
      <c r="E136" s="11" t="s">
        <v>21</v>
      </c>
      <c r="F136" s="11" t="s">
        <v>54</v>
      </c>
      <c r="G136" s="11"/>
      <c r="H136" s="12"/>
      <c r="I136" s="11" t="s">
        <v>73</v>
      </c>
      <c r="J136" s="11" t="s">
        <v>24</v>
      </c>
      <c r="K136" s="13">
        <v>30.0</v>
      </c>
      <c r="L136" s="14"/>
      <c r="M136" s="14"/>
      <c r="N136" s="14"/>
      <c r="O136" s="14"/>
      <c r="P136" s="14"/>
      <c r="Q136" s="15">
        <f t="shared" ref="Q136:Q139" si="18">AVERAGE(K136:P136)/100</f>
        <v>0.3</v>
      </c>
      <c r="R136" s="11" t="s">
        <v>295</v>
      </c>
      <c r="S136" s="9"/>
      <c r="T136" s="9"/>
      <c r="U136" s="9"/>
      <c r="V136" s="9"/>
      <c r="W136" s="9"/>
      <c r="X136" s="9"/>
      <c r="Y136" s="9"/>
    </row>
    <row r="137" hidden="1">
      <c r="A137" s="10">
        <v>45525.68900086806</v>
      </c>
      <c r="B137" s="10" t="str">
        <f t="shared" si="1"/>
        <v>ASHLey GotcherQ1: June 2024 - August 20242ND2.D</v>
      </c>
      <c r="C137" s="11" t="s">
        <v>294</v>
      </c>
      <c r="D137" s="11" t="s">
        <v>296</v>
      </c>
      <c r="E137" s="11" t="s">
        <v>21</v>
      </c>
      <c r="F137" s="11" t="s">
        <v>54</v>
      </c>
      <c r="G137" s="9"/>
      <c r="H137" s="12"/>
      <c r="I137" s="11" t="s">
        <v>31</v>
      </c>
      <c r="J137" s="11" t="s">
        <v>28</v>
      </c>
      <c r="K137" s="13">
        <v>70.0</v>
      </c>
      <c r="L137" s="14"/>
      <c r="M137" s="14"/>
      <c r="N137" s="14"/>
      <c r="O137" s="14"/>
      <c r="P137" s="14"/>
      <c r="Q137" s="15">
        <f t="shared" si="18"/>
        <v>0.7</v>
      </c>
      <c r="R137" s="11" t="s">
        <v>297</v>
      </c>
      <c r="S137" s="9"/>
      <c r="T137" s="9"/>
      <c r="U137" s="9"/>
      <c r="V137" s="9"/>
      <c r="W137" s="9"/>
      <c r="X137" s="9"/>
      <c r="Y137" s="9"/>
    </row>
    <row r="138" hidden="1">
      <c r="A138" s="10">
        <v>45628.61840502315</v>
      </c>
      <c r="B138" s="10" t="str">
        <f t="shared" si="1"/>
        <v>Jarrod BowmanQ2: September 2024 - November 20241st2.A, 2.B, 2.C</v>
      </c>
      <c r="C138" s="11" t="s">
        <v>298</v>
      </c>
      <c r="D138" s="11" t="s">
        <v>299</v>
      </c>
      <c r="E138" s="11" t="s">
        <v>34</v>
      </c>
      <c r="F138" s="11" t="s">
        <v>300</v>
      </c>
      <c r="G138" s="11" t="s">
        <v>301</v>
      </c>
      <c r="H138" s="12"/>
      <c r="I138" s="11" t="s">
        <v>108</v>
      </c>
      <c r="J138" s="11" t="s">
        <v>233</v>
      </c>
      <c r="K138" s="13">
        <v>85.0</v>
      </c>
      <c r="L138" s="13">
        <v>60.0</v>
      </c>
      <c r="M138" s="14"/>
      <c r="N138" s="14"/>
      <c r="O138" s="14"/>
      <c r="P138" s="14"/>
      <c r="Q138" s="15">
        <f t="shared" si="18"/>
        <v>0.725</v>
      </c>
      <c r="R138" s="11" t="s">
        <v>302</v>
      </c>
      <c r="S138" s="9"/>
      <c r="T138" s="9"/>
      <c r="U138" s="9"/>
      <c r="V138" s="9"/>
      <c r="W138" s="9"/>
      <c r="X138" s="9"/>
      <c r="Y138" s="9"/>
    </row>
    <row r="139" hidden="1">
      <c r="A139" s="10">
        <v>45705.36269576389</v>
      </c>
      <c r="B139" s="10" t="str">
        <f t="shared" si="1"/>
        <v>Jarrod BowmanQ3: December 2024 - February 20251ST1.A, 1.C, 1.D</v>
      </c>
      <c r="C139" s="11" t="s">
        <v>298</v>
      </c>
      <c r="D139" s="11" t="s">
        <v>299</v>
      </c>
      <c r="E139" s="11" t="s">
        <v>40</v>
      </c>
      <c r="F139" s="11" t="s">
        <v>300</v>
      </c>
      <c r="G139" s="9"/>
      <c r="H139" s="12"/>
      <c r="I139" s="11" t="s">
        <v>303</v>
      </c>
      <c r="J139" s="11" t="s">
        <v>32</v>
      </c>
      <c r="K139" s="13">
        <v>80.0</v>
      </c>
      <c r="L139" s="13">
        <v>75.0</v>
      </c>
      <c r="M139" s="13">
        <v>90.0</v>
      </c>
      <c r="N139" s="14"/>
      <c r="O139" s="14"/>
      <c r="P139" s="14"/>
      <c r="Q139" s="15">
        <f t="shared" si="18"/>
        <v>0.8166666667</v>
      </c>
      <c r="R139" s="11" t="s">
        <v>304</v>
      </c>
      <c r="S139" s="9"/>
      <c r="T139" s="9"/>
      <c r="U139" s="9"/>
      <c r="V139" s="9"/>
      <c r="W139" s="9"/>
      <c r="X139" s="9"/>
      <c r="Y139" s="9"/>
    </row>
    <row r="140" hidden="1">
      <c r="A140" s="10">
        <v>45798.69297768519</v>
      </c>
      <c r="B140" s="10" t="str">
        <f t="shared" si="1"/>
        <v>Jarrod BowmanQ4: March 2025 - May 20251ST3.C</v>
      </c>
      <c r="C140" s="11" t="s">
        <v>298</v>
      </c>
      <c r="D140" s="11" t="s">
        <v>299</v>
      </c>
      <c r="E140" s="11" t="s">
        <v>45</v>
      </c>
      <c r="F140" s="11" t="s">
        <v>300</v>
      </c>
      <c r="G140" s="9"/>
      <c r="H140" s="12"/>
      <c r="I140" s="11" t="s">
        <v>61</v>
      </c>
      <c r="J140" s="11" t="s">
        <v>32</v>
      </c>
      <c r="K140" s="11">
        <v>60.0</v>
      </c>
      <c r="L140" s="11">
        <v>85.0</v>
      </c>
      <c r="M140" s="9"/>
      <c r="N140" s="9"/>
      <c r="O140" s="9"/>
      <c r="P140" s="9"/>
      <c r="Q140" s="11">
        <v>73.0</v>
      </c>
      <c r="R140" s="11" t="s">
        <v>305</v>
      </c>
      <c r="S140" s="9"/>
      <c r="T140" s="9"/>
      <c r="U140" s="9"/>
      <c r="V140" s="9"/>
      <c r="W140" s="9"/>
      <c r="X140" s="9"/>
      <c r="Y140" s="9"/>
    </row>
    <row r="141" hidden="1">
      <c r="A141" s="10">
        <v>45709.35263925926</v>
      </c>
      <c r="B141" s="10" t="str">
        <f t="shared" si="1"/>
        <v>Jasmin RobertiQ3: December 2024 - February 20251ST3.C</v>
      </c>
      <c r="C141" s="11" t="s">
        <v>306</v>
      </c>
      <c r="D141" s="11" t="s">
        <v>307</v>
      </c>
      <c r="E141" s="11" t="s">
        <v>40</v>
      </c>
      <c r="F141" s="11" t="s">
        <v>137</v>
      </c>
      <c r="G141" s="9"/>
      <c r="H141" s="12"/>
      <c r="I141" s="11" t="s">
        <v>61</v>
      </c>
      <c r="J141" s="11" t="s">
        <v>32</v>
      </c>
      <c r="K141" s="13">
        <v>5.0</v>
      </c>
      <c r="L141" s="14"/>
      <c r="M141" s="14"/>
      <c r="N141" s="14"/>
      <c r="O141" s="14"/>
      <c r="P141" s="14"/>
      <c r="Q141" s="15">
        <f t="shared" ref="Q141:Q150" si="19">AVERAGE(K141:P141)/100</f>
        <v>0.05</v>
      </c>
      <c r="R141" s="11" t="s">
        <v>308</v>
      </c>
      <c r="S141" s="9"/>
      <c r="T141" s="9"/>
      <c r="U141" s="9"/>
      <c r="V141" s="9"/>
      <c r="W141" s="9"/>
      <c r="X141" s="9"/>
      <c r="Y141" s="9"/>
    </row>
    <row r="142" hidden="1">
      <c r="A142" s="10">
        <v>45523.638198518514</v>
      </c>
      <c r="B142" s="10" t="str">
        <f t="shared" si="1"/>
        <v>Jennifer RandallQ1: June 2024 - August 20241ST2.C, 3.A, 2.B</v>
      </c>
      <c r="C142" s="11" t="s">
        <v>309</v>
      </c>
      <c r="D142" s="11" t="s">
        <v>310</v>
      </c>
      <c r="E142" s="11" t="s">
        <v>21</v>
      </c>
      <c r="F142" s="11" t="s">
        <v>300</v>
      </c>
      <c r="G142" s="11" t="s">
        <v>311</v>
      </c>
      <c r="H142" s="12"/>
      <c r="I142" s="11" t="s">
        <v>312</v>
      </c>
      <c r="J142" s="11" t="s">
        <v>32</v>
      </c>
      <c r="K142" s="13">
        <v>30.0</v>
      </c>
      <c r="L142" s="13">
        <v>100.0</v>
      </c>
      <c r="M142" s="13">
        <v>85.0</v>
      </c>
      <c r="N142" s="14"/>
      <c r="O142" s="14"/>
      <c r="P142" s="14"/>
      <c r="Q142" s="15">
        <f t="shared" si="19"/>
        <v>0.7166666667</v>
      </c>
      <c r="R142" s="11" t="s">
        <v>313</v>
      </c>
      <c r="S142" s="9"/>
      <c r="T142" s="9"/>
      <c r="U142" s="9"/>
      <c r="V142" s="9"/>
      <c r="W142" s="9"/>
      <c r="X142" s="9"/>
      <c r="Y142" s="9"/>
    </row>
    <row r="143" hidden="1">
      <c r="A143" s="10">
        <v>45520.476008541664</v>
      </c>
      <c r="B143" s="10" t="str">
        <f t="shared" si="1"/>
        <v>Jessica RussellQ1: June 2024 - August 20242ND2.B</v>
      </c>
      <c r="C143" s="11" t="s">
        <v>314</v>
      </c>
      <c r="D143" s="11" t="s">
        <v>315</v>
      </c>
      <c r="E143" s="11" t="s">
        <v>21</v>
      </c>
      <c r="F143" s="11" t="s">
        <v>316</v>
      </c>
      <c r="G143" s="9"/>
      <c r="H143" s="12"/>
      <c r="I143" s="11" t="s">
        <v>83</v>
      </c>
      <c r="J143" s="11" t="s">
        <v>28</v>
      </c>
      <c r="K143" s="13">
        <v>100.0</v>
      </c>
      <c r="L143" s="14"/>
      <c r="M143" s="14"/>
      <c r="N143" s="14"/>
      <c r="O143" s="14"/>
      <c r="P143" s="14"/>
      <c r="Q143" s="15">
        <f t="shared" si="19"/>
        <v>1</v>
      </c>
      <c r="R143" s="11" t="s">
        <v>317</v>
      </c>
      <c r="S143" s="9"/>
      <c r="T143" s="9"/>
      <c r="U143" s="9"/>
      <c r="V143" s="9"/>
      <c r="W143" s="9"/>
      <c r="X143" s="9"/>
      <c r="Y143" s="9"/>
    </row>
    <row r="144" hidden="1">
      <c r="A144" s="10">
        <v>45520.47175924768</v>
      </c>
      <c r="B144" s="10" t="str">
        <f t="shared" si="1"/>
        <v>Jessica RussellQ1: June 2024 - August 20241ST1.B</v>
      </c>
      <c r="C144" s="11" t="s">
        <v>314</v>
      </c>
      <c r="D144" s="11" t="s">
        <v>315</v>
      </c>
      <c r="E144" s="11" t="s">
        <v>21</v>
      </c>
      <c r="F144" s="11" t="s">
        <v>316</v>
      </c>
      <c r="G144" s="11" t="s">
        <v>316</v>
      </c>
      <c r="H144" s="12"/>
      <c r="I144" s="11" t="s">
        <v>318</v>
      </c>
      <c r="J144" s="11" t="s">
        <v>32</v>
      </c>
      <c r="K144" s="13">
        <v>90.0</v>
      </c>
      <c r="L144" s="14"/>
      <c r="M144" s="14"/>
      <c r="N144" s="14"/>
      <c r="O144" s="14"/>
      <c r="P144" s="14"/>
      <c r="Q144" s="15">
        <f t="shared" si="19"/>
        <v>0.9</v>
      </c>
      <c r="R144" s="11" t="s">
        <v>319</v>
      </c>
      <c r="S144" s="9"/>
      <c r="T144" s="9"/>
      <c r="U144" s="9"/>
      <c r="V144" s="9"/>
      <c r="W144" s="9"/>
      <c r="X144" s="9"/>
      <c r="Y144" s="9"/>
    </row>
    <row r="145" hidden="1">
      <c r="A145" s="10">
        <v>45618.44252023148</v>
      </c>
      <c r="B145" s="10" t="str">
        <f t="shared" si="1"/>
        <v>Jessica RussellQ2: September 2024 - November 20242ND2.B</v>
      </c>
      <c r="C145" s="11" t="s">
        <v>314</v>
      </c>
      <c r="D145" s="11" t="s">
        <v>315</v>
      </c>
      <c r="E145" s="11" t="s">
        <v>34</v>
      </c>
      <c r="F145" s="11" t="s">
        <v>316</v>
      </c>
      <c r="G145" s="9"/>
      <c r="H145" s="12"/>
      <c r="I145" s="11" t="s">
        <v>83</v>
      </c>
      <c r="J145" s="11" t="s">
        <v>28</v>
      </c>
      <c r="K145" s="13">
        <v>100.0</v>
      </c>
      <c r="L145" s="14"/>
      <c r="M145" s="14"/>
      <c r="N145" s="14"/>
      <c r="O145" s="14"/>
      <c r="P145" s="14"/>
      <c r="Q145" s="15">
        <f t="shared" si="19"/>
        <v>1</v>
      </c>
      <c r="R145" s="11" t="s">
        <v>320</v>
      </c>
      <c r="S145" s="9"/>
      <c r="T145" s="9"/>
      <c r="U145" s="9"/>
      <c r="V145" s="9"/>
      <c r="W145" s="9"/>
      <c r="X145" s="9"/>
      <c r="Y145" s="9"/>
    </row>
    <row r="146" hidden="1">
      <c r="A146" s="10">
        <v>45607.60099068287</v>
      </c>
      <c r="B146" s="10" t="str">
        <f t="shared" si="1"/>
        <v>Jessica RussellQ2: September 2024 - November 20241ST1.B</v>
      </c>
      <c r="C146" s="11" t="s">
        <v>314</v>
      </c>
      <c r="D146" s="11" t="s">
        <v>315</v>
      </c>
      <c r="E146" s="11" t="s">
        <v>34</v>
      </c>
      <c r="F146" s="11" t="s">
        <v>316</v>
      </c>
      <c r="G146" s="9"/>
      <c r="H146" s="12"/>
      <c r="I146" s="11" t="s">
        <v>318</v>
      </c>
      <c r="J146" s="11" t="s">
        <v>32</v>
      </c>
      <c r="K146" s="13">
        <v>70.0</v>
      </c>
      <c r="L146" s="14"/>
      <c r="M146" s="14"/>
      <c r="N146" s="14"/>
      <c r="O146" s="14"/>
      <c r="P146" s="14"/>
      <c r="Q146" s="15">
        <f t="shared" si="19"/>
        <v>0.7</v>
      </c>
      <c r="R146" s="11" t="s">
        <v>321</v>
      </c>
      <c r="S146" s="9"/>
      <c r="T146" s="9"/>
      <c r="U146" s="9"/>
      <c r="V146" s="9"/>
      <c r="W146" s="9"/>
      <c r="X146" s="9"/>
      <c r="Y146" s="9"/>
    </row>
    <row r="147" hidden="1">
      <c r="A147" s="10">
        <v>45607.69418733796</v>
      </c>
      <c r="B147" s="10" t="str">
        <f t="shared" si="1"/>
        <v>Jessica RussellQ2: September 2024 - November 20243RD2.D</v>
      </c>
      <c r="C147" s="11" t="s">
        <v>314</v>
      </c>
      <c r="D147" s="11" t="s">
        <v>315</v>
      </c>
      <c r="E147" s="11" t="s">
        <v>34</v>
      </c>
      <c r="F147" s="11" t="s">
        <v>316</v>
      </c>
      <c r="G147" s="11" t="s">
        <v>322</v>
      </c>
      <c r="H147" s="12"/>
      <c r="I147" s="11" t="s">
        <v>31</v>
      </c>
      <c r="J147" s="11" t="s">
        <v>24</v>
      </c>
      <c r="K147" s="13">
        <v>100.0</v>
      </c>
      <c r="L147" s="14"/>
      <c r="M147" s="14"/>
      <c r="N147" s="14"/>
      <c r="O147" s="14"/>
      <c r="P147" s="14"/>
      <c r="Q147" s="15">
        <f t="shared" si="19"/>
        <v>1</v>
      </c>
      <c r="R147" s="11" t="s">
        <v>323</v>
      </c>
      <c r="S147" s="9"/>
      <c r="T147" s="9"/>
      <c r="U147" s="9"/>
      <c r="V147" s="9"/>
      <c r="W147" s="9"/>
      <c r="X147" s="9"/>
      <c r="Y147" s="9"/>
    </row>
    <row r="148" hidden="1">
      <c r="A148" s="10">
        <v>45705.383797291666</v>
      </c>
      <c r="B148" s="10" t="str">
        <f t="shared" si="1"/>
        <v>Jessica RussellQ3: December 2024 - February 20252ND2.B</v>
      </c>
      <c r="C148" s="11" t="s">
        <v>314</v>
      </c>
      <c r="D148" s="11" t="s">
        <v>315</v>
      </c>
      <c r="E148" s="11" t="s">
        <v>40</v>
      </c>
      <c r="F148" s="11" t="s">
        <v>316</v>
      </c>
      <c r="G148" s="9"/>
      <c r="H148" s="12"/>
      <c r="I148" s="16" t="s">
        <v>83</v>
      </c>
      <c r="J148" s="11" t="s">
        <v>28</v>
      </c>
      <c r="K148" s="13">
        <v>80.0</v>
      </c>
      <c r="L148" s="14"/>
      <c r="M148" s="14"/>
      <c r="N148" s="14"/>
      <c r="O148" s="14"/>
      <c r="P148" s="14"/>
      <c r="Q148" s="15">
        <f t="shared" si="19"/>
        <v>0.8</v>
      </c>
      <c r="R148" s="11" t="s">
        <v>324</v>
      </c>
      <c r="S148" s="9"/>
      <c r="T148" s="9"/>
      <c r="U148" s="9"/>
      <c r="V148" s="9"/>
      <c r="W148" s="9"/>
      <c r="X148" s="9"/>
      <c r="Y148" s="9"/>
    </row>
    <row r="149" hidden="1">
      <c r="A149" s="10">
        <v>45705.37380498843</v>
      </c>
      <c r="B149" s="10" t="str">
        <f t="shared" si="1"/>
        <v>Jessica RussellQ3: December 2024 - February 20251ST1.B</v>
      </c>
      <c r="C149" s="11" t="s">
        <v>314</v>
      </c>
      <c r="D149" s="11" t="s">
        <v>315</v>
      </c>
      <c r="E149" s="11" t="s">
        <v>40</v>
      </c>
      <c r="F149" s="11" t="s">
        <v>316</v>
      </c>
      <c r="G149" s="9"/>
      <c r="H149" s="12"/>
      <c r="I149" s="16" t="s">
        <v>318</v>
      </c>
      <c r="J149" s="11" t="s">
        <v>32</v>
      </c>
      <c r="K149" s="13">
        <v>100.0</v>
      </c>
      <c r="L149" s="13">
        <v>50.0</v>
      </c>
      <c r="M149" s="14"/>
      <c r="N149" s="14"/>
      <c r="O149" s="14"/>
      <c r="P149" s="14"/>
      <c r="Q149" s="15">
        <f t="shared" si="19"/>
        <v>0.75</v>
      </c>
      <c r="R149" s="11" t="s">
        <v>325</v>
      </c>
      <c r="S149" s="9"/>
      <c r="T149" s="9"/>
      <c r="U149" s="9"/>
      <c r="V149" s="9"/>
      <c r="W149" s="9"/>
      <c r="X149" s="9"/>
      <c r="Y149" s="9"/>
    </row>
    <row r="150" hidden="1">
      <c r="A150" s="10">
        <v>45705.395566886575</v>
      </c>
      <c r="B150" s="10" t="str">
        <f t="shared" si="1"/>
        <v>Jessica RussellQ3: December 2024 - February 20253RD2.D</v>
      </c>
      <c r="C150" s="11" t="s">
        <v>314</v>
      </c>
      <c r="D150" s="11" t="s">
        <v>315</v>
      </c>
      <c r="E150" s="11" t="s">
        <v>40</v>
      </c>
      <c r="F150" s="11" t="s">
        <v>316</v>
      </c>
      <c r="G150" s="9"/>
      <c r="H150" s="12"/>
      <c r="I150" s="16" t="s">
        <v>31</v>
      </c>
      <c r="J150" s="11" t="s">
        <v>24</v>
      </c>
      <c r="K150" s="13">
        <v>55.0</v>
      </c>
      <c r="L150" s="14"/>
      <c r="M150" s="14"/>
      <c r="N150" s="14"/>
      <c r="O150" s="14"/>
      <c r="P150" s="14"/>
      <c r="Q150" s="15">
        <f t="shared" si="19"/>
        <v>0.55</v>
      </c>
      <c r="R150" s="11" t="s">
        <v>326</v>
      </c>
      <c r="S150" s="9"/>
      <c r="T150" s="9"/>
      <c r="U150" s="9"/>
      <c r="V150" s="9"/>
      <c r="W150" s="9"/>
      <c r="X150" s="9"/>
      <c r="Y150" s="9"/>
    </row>
    <row r="151" hidden="1">
      <c r="A151" s="10">
        <v>45797.428694155096</v>
      </c>
      <c r="B151" s="10" t="str">
        <f t="shared" si="1"/>
        <v>Jessica RussellQ4: March 2025 - May 20253RD1.D</v>
      </c>
      <c r="C151" s="11" t="s">
        <v>314</v>
      </c>
      <c r="D151" s="11" t="s">
        <v>315</v>
      </c>
      <c r="E151" s="11" t="s">
        <v>45</v>
      </c>
      <c r="F151" s="11" t="s">
        <v>316</v>
      </c>
      <c r="G151" s="9"/>
      <c r="H151" s="12"/>
      <c r="I151" s="11" t="s">
        <v>23</v>
      </c>
      <c r="J151" s="11" t="s">
        <v>24</v>
      </c>
      <c r="K151" s="11">
        <v>50.0</v>
      </c>
      <c r="L151" s="9"/>
      <c r="M151" s="9"/>
      <c r="N151" s="9"/>
      <c r="O151" s="9"/>
      <c r="P151" s="9"/>
      <c r="Q151" s="11">
        <v>50.0</v>
      </c>
      <c r="R151" s="11" t="s">
        <v>327</v>
      </c>
      <c r="S151" s="9"/>
      <c r="T151" s="9"/>
      <c r="U151" s="9"/>
      <c r="V151" s="9"/>
      <c r="W151" s="9"/>
      <c r="X151" s="9"/>
      <c r="Y151" s="9"/>
    </row>
    <row r="152" hidden="1">
      <c r="A152" s="10">
        <v>45797.41935099537</v>
      </c>
      <c r="B152" s="10" t="str">
        <f t="shared" si="1"/>
        <v>Jessica RussellQ4: March 2025 - May 20252ND2.B</v>
      </c>
      <c r="C152" s="11" t="s">
        <v>314</v>
      </c>
      <c r="D152" s="11" t="s">
        <v>315</v>
      </c>
      <c r="E152" s="11" t="s">
        <v>45</v>
      </c>
      <c r="F152" s="11" t="s">
        <v>316</v>
      </c>
      <c r="G152" s="9"/>
      <c r="H152" s="12"/>
      <c r="I152" s="11" t="s">
        <v>83</v>
      </c>
      <c r="J152" s="11" t="s">
        <v>28</v>
      </c>
      <c r="K152" s="11">
        <v>100.0</v>
      </c>
      <c r="L152" s="9"/>
      <c r="M152" s="9"/>
      <c r="N152" s="9"/>
      <c r="O152" s="9"/>
      <c r="P152" s="9"/>
      <c r="Q152" s="11">
        <v>100.0</v>
      </c>
      <c r="R152" s="11" t="s">
        <v>328</v>
      </c>
      <c r="S152" s="9"/>
      <c r="T152" s="9"/>
      <c r="U152" s="9"/>
      <c r="V152" s="9"/>
      <c r="W152" s="9"/>
      <c r="X152" s="9"/>
      <c r="Y152" s="9"/>
    </row>
    <row r="153" hidden="1">
      <c r="A153" s="10">
        <v>45797.41216172454</v>
      </c>
      <c r="B153" s="10" t="str">
        <f t="shared" si="1"/>
        <v>Jessica RussellQ4: March 2025 - May 20251ST1.B</v>
      </c>
      <c r="C153" s="11" t="s">
        <v>314</v>
      </c>
      <c r="D153" s="11" t="s">
        <v>315</v>
      </c>
      <c r="E153" s="11" t="s">
        <v>45</v>
      </c>
      <c r="F153" s="11" t="s">
        <v>316</v>
      </c>
      <c r="G153" s="9"/>
      <c r="H153" s="12"/>
      <c r="I153" s="11" t="s">
        <v>318</v>
      </c>
      <c r="J153" s="11" t="s">
        <v>32</v>
      </c>
      <c r="K153" s="11">
        <v>100.0</v>
      </c>
      <c r="L153" s="9"/>
      <c r="M153" s="9"/>
      <c r="N153" s="9"/>
      <c r="O153" s="9"/>
      <c r="P153" s="9"/>
      <c r="Q153" s="11">
        <v>100.0</v>
      </c>
      <c r="R153" s="11" t="s">
        <v>329</v>
      </c>
      <c r="S153" s="9"/>
      <c r="T153" s="9"/>
      <c r="U153" s="9"/>
      <c r="V153" s="9"/>
      <c r="W153" s="9"/>
      <c r="X153" s="9"/>
      <c r="Y153" s="9"/>
    </row>
    <row r="154" hidden="1">
      <c r="A154" s="10">
        <v>45614.563935150465</v>
      </c>
      <c r="B154" s="10" t="str">
        <f t="shared" si="1"/>
        <v>Jessica ThompsonQ2: September 2024 - November 20245TH2.B, 2.C</v>
      </c>
      <c r="C154" s="11" t="s">
        <v>330</v>
      </c>
      <c r="D154" s="11" t="s">
        <v>331</v>
      </c>
      <c r="E154" s="11" t="s">
        <v>34</v>
      </c>
      <c r="F154" s="11" t="s">
        <v>89</v>
      </c>
      <c r="G154" s="9"/>
      <c r="H154" s="12"/>
      <c r="I154" s="11" t="s">
        <v>332</v>
      </c>
      <c r="J154" s="11" t="s">
        <v>57</v>
      </c>
      <c r="K154" s="13">
        <v>100.0</v>
      </c>
      <c r="L154" s="13">
        <v>100.0</v>
      </c>
      <c r="M154" s="14"/>
      <c r="N154" s="14"/>
      <c r="O154" s="14"/>
      <c r="P154" s="14"/>
      <c r="Q154" s="15">
        <f t="shared" ref="Q154:Q159" si="20">AVERAGE(K154:P154)/100</f>
        <v>1</v>
      </c>
      <c r="R154" s="11" t="s">
        <v>333</v>
      </c>
      <c r="S154" s="9"/>
      <c r="T154" s="9"/>
      <c r="U154" s="9"/>
      <c r="V154" s="9"/>
      <c r="W154" s="9"/>
      <c r="X154" s="9"/>
      <c r="Y154" s="9"/>
    </row>
    <row r="155" hidden="1">
      <c r="A155" s="10">
        <v>45522.70736269676</v>
      </c>
      <c r="B155" s="10" t="str">
        <f t="shared" si="1"/>
        <v>Jody AllenQ1: June 2024 - August 20241ST2.A, 3.C</v>
      </c>
      <c r="C155" s="11" t="s">
        <v>334</v>
      </c>
      <c r="D155" s="11" t="s">
        <v>335</v>
      </c>
      <c r="E155" s="11" t="s">
        <v>21</v>
      </c>
      <c r="F155" s="11" t="s">
        <v>336</v>
      </c>
      <c r="G155" s="11"/>
      <c r="H155" s="12"/>
      <c r="I155" s="11" t="s">
        <v>337</v>
      </c>
      <c r="J155" s="11" t="s">
        <v>32</v>
      </c>
      <c r="K155" s="13">
        <v>0.0</v>
      </c>
      <c r="L155" s="13">
        <v>0.0</v>
      </c>
      <c r="M155" s="13">
        <v>0.0</v>
      </c>
      <c r="N155" s="13">
        <v>0.0</v>
      </c>
      <c r="O155" s="14"/>
      <c r="P155" s="14"/>
      <c r="Q155" s="15">
        <f t="shared" si="20"/>
        <v>0</v>
      </c>
      <c r="R155" s="11" t="s">
        <v>338</v>
      </c>
      <c r="S155" s="9"/>
      <c r="T155" s="9"/>
      <c r="U155" s="9"/>
      <c r="V155" s="9"/>
      <c r="W155" s="9"/>
      <c r="X155" s="9"/>
      <c r="Y155" s="9"/>
    </row>
    <row r="156" hidden="1">
      <c r="A156" s="10">
        <v>45522.70884777777</v>
      </c>
      <c r="B156" s="10" t="str">
        <f t="shared" si="1"/>
        <v>Jody AllenQ1: June 2024 - August 20242ND3.B</v>
      </c>
      <c r="C156" s="11" t="s">
        <v>334</v>
      </c>
      <c r="D156" s="11" t="s">
        <v>335</v>
      </c>
      <c r="E156" s="11" t="s">
        <v>21</v>
      </c>
      <c r="F156" s="11" t="s">
        <v>336</v>
      </c>
      <c r="G156" s="9"/>
      <c r="H156" s="12"/>
      <c r="I156" s="11" t="s">
        <v>149</v>
      </c>
      <c r="J156" s="11" t="s">
        <v>28</v>
      </c>
      <c r="K156" s="13">
        <v>10.0</v>
      </c>
      <c r="L156" s="13">
        <v>10.0</v>
      </c>
      <c r="M156" s="13">
        <v>0.0</v>
      </c>
      <c r="N156" s="14"/>
      <c r="O156" s="14"/>
      <c r="P156" s="14"/>
      <c r="Q156" s="15">
        <f t="shared" si="20"/>
        <v>0.06666666667</v>
      </c>
      <c r="R156" s="11" t="s">
        <v>339</v>
      </c>
      <c r="S156" s="9"/>
      <c r="T156" s="9"/>
      <c r="U156" s="9"/>
      <c r="V156" s="9"/>
      <c r="W156" s="9"/>
      <c r="X156" s="9"/>
      <c r="Y156" s="9"/>
    </row>
    <row r="157" hidden="1">
      <c r="A157" s="10">
        <v>45607.69993915509</v>
      </c>
      <c r="B157" s="10" t="str">
        <f t="shared" si="1"/>
        <v>Jody AllenQ2: September 2024 - November 20241ST3.B</v>
      </c>
      <c r="C157" s="11" t="s">
        <v>334</v>
      </c>
      <c r="D157" s="11" t="s">
        <v>335</v>
      </c>
      <c r="E157" s="11" t="s">
        <v>34</v>
      </c>
      <c r="F157" s="11" t="s">
        <v>336</v>
      </c>
      <c r="G157" s="11" t="s">
        <v>340</v>
      </c>
      <c r="H157" s="12"/>
      <c r="I157" s="11" t="s">
        <v>149</v>
      </c>
      <c r="J157" s="11" t="s">
        <v>32</v>
      </c>
      <c r="K157" s="13">
        <v>15.0</v>
      </c>
      <c r="L157" s="13">
        <v>15.0</v>
      </c>
      <c r="M157" s="14"/>
      <c r="N157" s="14"/>
      <c r="O157" s="14"/>
      <c r="P157" s="14"/>
      <c r="Q157" s="15">
        <f t="shared" si="20"/>
        <v>0.15</v>
      </c>
      <c r="R157" s="11" t="s">
        <v>341</v>
      </c>
      <c r="S157" s="9"/>
      <c r="T157" s="9"/>
      <c r="U157" s="9"/>
      <c r="V157" s="9"/>
      <c r="W157" s="9"/>
      <c r="X157" s="9"/>
      <c r="Y157" s="9"/>
    </row>
    <row r="158" hidden="1">
      <c r="A158" s="10">
        <v>45702.36744625</v>
      </c>
      <c r="B158" s="10" t="str">
        <f t="shared" si="1"/>
        <v>Jody AllenQ3: December 2024 - February 20251ST2.B</v>
      </c>
      <c r="C158" s="11" t="s">
        <v>334</v>
      </c>
      <c r="D158" s="11" t="s">
        <v>335</v>
      </c>
      <c r="E158" s="11" t="s">
        <v>40</v>
      </c>
      <c r="F158" s="11" t="s">
        <v>336</v>
      </c>
      <c r="G158" s="9"/>
      <c r="H158" s="12"/>
      <c r="I158" s="11" t="s">
        <v>83</v>
      </c>
      <c r="J158" s="11" t="s">
        <v>32</v>
      </c>
      <c r="K158" s="13">
        <v>75.0</v>
      </c>
      <c r="L158" s="13">
        <v>25.0</v>
      </c>
      <c r="M158" s="14"/>
      <c r="N158" s="14"/>
      <c r="O158" s="14"/>
      <c r="P158" s="14"/>
      <c r="Q158" s="15">
        <f t="shared" si="20"/>
        <v>0.5</v>
      </c>
      <c r="R158" s="11" t="s">
        <v>342</v>
      </c>
      <c r="S158" s="9"/>
      <c r="T158" s="9"/>
      <c r="U158" s="9"/>
      <c r="V158" s="9"/>
      <c r="W158" s="9"/>
      <c r="X158" s="9"/>
      <c r="Y158" s="9"/>
    </row>
    <row r="159" hidden="1">
      <c r="A159" s="10">
        <v>45607.697689560184</v>
      </c>
      <c r="B159" s="10" t="str">
        <f t="shared" si="1"/>
        <v>Jody AllenQ2: September 2024 - November 20241ST2.A</v>
      </c>
      <c r="C159" s="11" t="s">
        <v>334</v>
      </c>
      <c r="D159" s="11" t="s">
        <v>335</v>
      </c>
      <c r="E159" s="11" t="s">
        <v>34</v>
      </c>
      <c r="F159" s="11" t="s">
        <v>343</v>
      </c>
      <c r="G159" s="11" t="s">
        <v>344</v>
      </c>
      <c r="H159" s="12"/>
      <c r="I159" s="11" t="s">
        <v>36</v>
      </c>
      <c r="J159" s="11" t="s">
        <v>32</v>
      </c>
      <c r="K159" s="13">
        <v>10.0</v>
      </c>
      <c r="L159" s="13">
        <v>50.0</v>
      </c>
      <c r="M159" s="13">
        <v>50.0</v>
      </c>
      <c r="N159" s="13">
        <v>10.0</v>
      </c>
      <c r="O159" s="13">
        <v>0.0</v>
      </c>
      <c r="P159" s="13">
        <v>0.0</v>
      </c>
      <c r="Q159" s="15">
        <f t="shared" si="20"/>
        <v>0.2</v>
      </c>
      <c r="R159" s="11" t="s">
        <v>345</v>
      </c>
      <c r="S159" s="9"/>
      <c r="T159" s="9"/>
      <c r="U159" s="9"/>
      <c r="V159" s="9"/>
      <c r="W159" s="9"/>
      <c r="X159" s="9"/>
      <c r="Y159" s="9"/>
    </row>
    <row r="160" hidden="1">
      <c r="A160" s="10">
        <v>45825.603427650465</v>
      </c>
      <c r="B160" s="10" t="str">
        <f t="shared" si="1"/>
        <v>Jody AllenQ4: March 2025 - May 20251ST3.C</v>
      </c>
      <c r="C160" s="11" t="s">
        <v>334</v>
      </c>
      <c r="D160" s="11" t="s">
        <v>335</v>
      </c>
      <c r="E160" s="11" t="s">
        <v>45</v>
      </c>
      <c r="F160" s="11" t="s">
        <v>343</v>
      </c>
      <c r="G160" s="9"/>
      <c r="H160" s="12"/>
      <c r="I160" s="20" t="s">
        <v>61</v>
      </c>
      <c r="J160" s="11" t="s">
        <v>32</v>
      </c>
      <c r="K160" s="11">
        <v>100.0</v>
      </c>
      <c r="L160" s="11">
        <v>100.0</v>
      </c>
      <c r="M160" s="11">
        <v>100.0</v>
      </c>
      <c r="N160" s="9"/>
      <c r="O160" s="9"/>
      <c r="P160" s="9"/>
      <c r="Q160" s="11">
        <v>100.0</v>
      </c>
      <c r="R160" s="11" t="s">
        <v>346</v>
      </c>
      <c r="S160" s="9"/>
      <c r="T160" s="9"/>
      <c r="U160" s="9"/>
      <c r="V160" s="9"/>
      <c r="W160" s="9"/>
      <c r="X160" s="9"/>
      <c r="Y160" s="9"/>
    </row>
    <row r="161" hidden="1">
      <c r="A161" s="10">
        <v>45523.521754456015</v>
      </c>
      <c r="B161" s="10" t="str">
        <f t="shared" si="1"/>
        <v>Jody AllenQ1: June 2024 - August 20241ST2.B</v>
      </c>
      <c r="C161" s="11" t="s">
        <v>334</v>
      </c>
      <c r="D161" s="11" t="s">
        <v>335</v>
      </c>
      <c r="E161" s="11" t="s">
        <v>21</v>
      </c>
      <c r="F161" s="11" t="s">
        <v>347</v>
      </c>
      <c r="G161" s="11"/>
      <c r="H161" s="12"/>
      <c r="I161" s="11" t="s">
        <v>83</v>
      </c>
      <c r="J161" s="11" t="s">
        <v>32</v>
      </c>
      <c r="K161" s="13">
        <v>17.0</v>
      </c>
      <c r="L161" s="13">
        <v>35.0</v>
      </c>
      <c r="M161" s="13">
        <v>32.0</v>
      </c>
      <c r="N161" s="13">
        <v>12.0</v>
      </c>
      <c r="O161" s="13">
        <v>36.0</v>
      </c>
      <c r="P161" s="13">
        <v>17.0</v>
      </c>
      <c r="Q161" s="15">
        <f t="shared" ref="Q161:Q167" si="21">AVERAGE(K161:P161)/100</f>
        <v>0.2483333333</v>
      </c>
      <c r="R161" s="11" t="s">
        <v>348</v>
      </c>
      <c r="S161" s="9"/>
      <c r="T161" s="9"/>
      <c r="U161" s="9"/>
      <c r="V161" s="9"/>
      <c r="W161" s="9"/>
      <c r="X161" s="9"/>
      <c r="Y161" s="9"/>
    </row>
    <row r="162" hidden="1">
      <c r="A162" s="10">
        <v>45607.70092346065</v>
      </c>
      <c r="B162" s="10" t="str">
        <f t="shared" si="1"/>
        <v>Jody AllenQ2: September 2024 - November 20241ST2.B</v>
      </c>
      <c r="C162" s="11" t="s">
        <v>334</v>
      </c>
      <c r="D162" s="11" t="s">
        <v>335</v>
      </c>
      <c r="E162" s="11" t="s">
        <v>34</v>
      </c>
      <c r="F162" s="11" t="s">
        <v>347</v>
      </c>
      <c r="G162" s="11"/>
      <c r="H162" s="12"/>
      <c r="I162" s="11" t="s">
        <v>83</v>
      </c>
      <c r="J162" s="11" t="s">
        <v>32</v>
      </c>
      <c r="K162" s="13">
        <v>75.0</v>
      </c>
      <c r="L162" s="13">
        <v>75.0</v>
      </c>
      <c r="M162" s="13">
        <v>75.0</v>
      </c>
      <c r="N162" s="13">
        <v>75.0</v>
      </c>
      <c r="O162" s="13">
        <v>20.0</v>
      </c>
      <c r="P162" s="13">
        <v>20.0</v>
      </c>
      <c r="Q162" s="15">
        <f t="shared" si="21"/>
        <v>0.5666666667</v>
      </c>
      <c r="R162" s="11" t="s">
        <v>349</v>
      </c>
      <c r="S162" s="9"/>
      <c r="T162" s="9"/>
      <c r="U162" s="9"/>
      <c r="V162" s="9"/>
      <c r="W162" s="9"/>
      <c r="X162" s="9"/>
      <c r="Y162" s="9"/>
    </row>
    <row r="163" hidden="1">
      <c r="A163" s="10">
        <v>45702.36637659722</v>
      </c>
      <c r="B163" s="10" t="str">
        <f t="shared" si="1"/>
        <v>Jody AllenQ3: December 2024 - February 20251ST2.B</v>
      </c>
      <c r="C163" s="11" t="s">
        <v>334</v>
      </c>
      <c r="D163" s="11" t="s">
        <v>335</v>
      </c>
      <c r="E163" s="11" t="s">
        <v>40</v>
      </c>
      <c r="F163" s="11" t="s">
        <v>347</v>
      </c>
      <c r="G163" s="9"/>
      <c r="H163" s="12"/>
      <c r="I163" s="11" t="s">
        <v>83</v>
      </c>
      <c r="J163" s="11" t="s">
        <v>32</v>
      </c>
      <c r="K163" s="13">
        <v>100.0</v>
      </c>
      <c r="L163" s="14"/>
      <c r="M163" s="14"/>
      <c r="N163" s="14"/>
      <c r="O163" s="14"/>
      <c r="P163" s="14"/>
      <c r="Q163" s="15">
        <f t="shared" si="21"/>
        <v>1</v>
      </c>
      <c r="R163" s="11" t="s">
        <v>350</v>
      </c>
      <c r="S163" s="9"/>
      <c r="T163" s="9"/>
      <c r="U163" s="9"/>
      <c r="V163" s="9"/>
      <c r="W163" s="9"/>
      <c r="X163" s="9"/>
      <c r="Y163" s="9"/>
    </row>
    <row r="164" hidden="1">
      <c r="A164" s="10">
        <v>45523.44954804398</v>
      </c>
      <c r="B164" s="10" t="str">
        <f t="shared" si="1"/>
        <v>Justin KeyQ1: June 2024 - August 20241ST1.A, 1.C, 3.B</v>
      </c>
      <c r="C164" s="11" t="s">
        <v>351</v>
      </c>
      <c r="D164" s="11" t="s">
        <v>352</v>
      </c>
      <c r="E164" s="11" t="s">
        <v>21</v>
      </c>
      <c r="F164" s="11" t="s">
        <v>353</v>
      </c>
      <c r="G164" s="11"/>
      <c r="H164" s="12"/>
      <c r="I164" s="11" t="s">
        <v>354</v>
      </c>
      <c r="J164" s="11" t="s">
        <v>32</v>
      </c>
      <c r="K164" s="13">
        <v>90.0</v>
      </c>
      <c r="L164" s="14"/>
      <c r="M164" s="14"/>
      <c r="N164" s="14"/>
      <c r="O164" s="14"/>
      <c r="P164" s="14"/>
      <c r="Q164" s="15">
        <f t="shared" si="21"/>
        <v>0.9</v>
      </c>
      <c r="R164" s="11" t="s">
        <v>355</v>
      </c>
      <c r="S164" s="9"/>
      <c r="T164" s="9"/>
      <c r="U164" s="9"/>
      <c r="V164" s="9"/>
      <c r="W164" s="9"/>
      <c r="X164" s="9"/>
      <c r="Y164" s="9"/>
    </row>
    <row r="165" hidden="1">
      <c r="A165" s="10">
        <v>45523.45140167824</v>
      </c>
      <c r="B165" s="10" t="str">
        <f t="shared" si="1"/>
        <v>Justin KeyQ1: June 2024 - August 20242ND2.C</v>
      </c>
      <c r="C165" s="11" t="s">
        <v>351</v>
      </c>
      <c r="D165" s="11" t="s">
        <v>352</v>
      </c>
      <c r="E165" s="11" t="s">
        <v>21</v>
      </c>
      <c r="F165" s="11" t="s">
        <v>353</v>
      </c>
      <c r="G165" s="11"/>
      <c r="H165" s="12"/>
      <c r="I165" s="11" t="s">
        <v>27</v>
      </c>
      <c r="J165" s="11" t="s">
        <v>28</v>
      </c>
      <c r="K165" s="13">
        <v>100.0</v>
      </c>
      <c r="L165" s="14"/>
      <c r="M165" s="14"/>
      <c r="N165" s="14"/>
      <c r="O165" s="14"/>
      <c r="P165" s="14"/>
      <c r="Q165" s="15">
        <f t="shared" si="21"/>
        <v>1</v>
      </c>
      <c r="R165" s="11" t="s">
        <v>356</v>
      </c>
      <c r="S165" s="9"/>
      <c r="T165" s="9"/>
      <c r="U165" s="9"/>
      <c r="V165" s="9"/>
      <c r="W165" s="9"/>
      <c r="X165" s="9"/>
      <c r="Y165" s="9"/>
    </row>
    <row r="166" hidden="1">
      <c r="A166" s="10">
        <v>45607.46596025463</v>
      </c>
      <c r="B166" s="10" t="str">
        <f t="shared" si="1"/>
        <v>Justin KeyQ2: September 2024 - November 20241ST3.A</v>
      </c>
      <c r="C166" s="11" t="s">
        <v>351</v>
      </c>
      <c r="D166" s="11" t="s">
        <v>352</v>
      </c>
      <c r="E166" s="11" t="s">
        <v>34</v>
      </c>
      <c r="F166" s="11" t="s">
        <v>353</v>
      </c>
      <c r="G166" s="11" t="s">
        <v>353</v>
      </c>
      <c r="H166" s="12"/>
      <c r="I166" s="11" t="s">
        <v>94</v>
      </c>
      <c r="J166" s="11" t="s">
        <v>32</v>
      </c>
      <c r="K166" s="13">
        <v>50.0</v>
      </c>
      <c r="L166" s="14"/>
      <c r="M166" s="14"/>
      <c r="N166" s="14"/>
      <c r="O166" s="14"/>
      <c r="P166" s="14"/>
      <c r="Q166" s="15">
        <f t="shared" si="21"/>
        <v>0.5</v>
      </c>
      <c r="R166" s="11" t="s">
        <v>357</v>
      </c>
      <c r="S166" s="9"/>
      <c r="T166" s="9"/>
      <c r="U166" s="9"/>
      <c r="V166" s="9"/>
      <c r="W166" s="9"/>
      <c r="X166" s="9"/>
      <c r="Y166" s="9"/>
    </row>
    <row r="167" hidden="1">
      <c r="A167" s="10">
        <v>45709.61651289352</v>
      </c>
      <c r="B167" s="10" t="str">
        <f t="shared" si="1"/>
        <v>Justin KeyQ3: December 2024 - February 20251ST3.A</v>
      </c>
      <c r="C167" s="11" t="s">
        <v>351</v>
      </c>
      <c r="D167" s="11" t="s">
        <v>352</v>
      </c>
      <c r="E167" s="11" t="s">
        <v>40</v>
      </c>
      <c r="F167" s="11" t="s">
        <v>353</v>
      </c>
      <c r="G167" s="11" t="s">
        <v>358</v>
      </c>
      <c r="H167" s="12"/>
      <c r="I167" s="11" t="s">
        <v>94</v>
      </c>
      <c r="J167" s="11" t="s">
        <v>32</v>
      </c>
      <c r="K167" s="13">
        <v>33.0</v>
      </c>
      <c r="L167" s="14"/>
      <c r="M167" s="14"/>
      <c r="N167" s="14"/>
      <c r="O167" s="14"/>
      <c r="P167" s="14"/>
      <c r="Q167" s="15">
        <f t="shared" si="21"/>
        <v>0.33</v>
      </c>
      <c r="R167" s="11" t="s">
        <v>359</v>
      </c>
      <c r="S167" s="9"/>
      <c r="T167" s="9"/>
      <c r="U167" s="9"/>
      <c r="V167" s="9"/>
      <c r="W167" s="9"/>
      <c r="X167" s="9"/>
      <c r="Y167" s="9"/>
    </row>
    <row r="168" hidden="1">
      <c r="A168" s="10">
        <v>45796.44756863426</v>
      </c>
      <c r="B168" s="10" t="str">
        <f t="shared" si="1"/>
        <v>Justin KeyQ4: March 2025 - May 20251ST3.A</v>
      </c>
      <c r="C168" s="11" t="s">
        <v>351</v>
      </c>
      <c r="D168" s="11" t="s">
        <v>352</v>
      </c>
      <c r="E168" s="11" t="s">
        <v>45</v>
      </c>
      <c r="F168" s="11" t="s">
        <v>353</v>
      </c>
      <c r="G168" s="11" t="s">
        <v>358</v>
      </c>
      <c r="H168" s="12"/>
      <c r="I168" s="11" t="s">
        <v>94</v>
      </c>
      <c r="J168" s="11" t="s">
        <v>32</v>
      </c>
      <c r="K168" s="11">
        <v>80.0</v>
      </c>
      <c r="L168" s="11">
        <v>50.0</v>
      </c>
      <c r="M168" s="9"/>
      <c r="N168" s="9"/>
      <c r="O168" s="9"/>
      <c r="P168" s="9"/>
      <c r="Q168" s="11">
        <v>65.0</v>
      </c>
      <c r="R168" s="11" t="s">
        <v>360</v>
      </c>
      <c r="S168" s="9"/>
      <c r="T168" s="9"/>
      <c r="U168" s="9"/>
      <c r="V168" s="9"/>
      <c r="W168" s="9"/>
      <c r="X168" s="9"/>
      <c r="Y168" s="9"/>
    </row>
    <row r="169" hidden="1">
      <c r="A169" s="10">
        <v>45523.56906019676</v>
      </c>
      <c r="B169" s="10" t="str">
        <f t="shared" si="1"/>
        <v>Kenneth SchellQ1: June 2024 - August 20241ST2.C</v>
      </c>
      <c r="C169" s="11" t="s">
        <v>361</v>
      </c>
      <c r="D169" s="11" t="s">
        <v>362</v>
      </c>
      <c r="E169" s="11" t="s">
        <v>21</v>
      </c>
      <c r="F169" s="11" t="s">
        <v>246</v>
      </c>
      <c r="G169" s="11"/>
      <c r="H169" s="12"/>
      <c r="I169" s="11" t="s">
        <v>27</v>
      </c>
      <c r="J169" s="11" t="s">
        <v>32</v>
      </c>
      <c r="K169" s="13">
        <v>100.0</v>
      </c>
      <c r="L169" s="14"/>
      <c r="M169" s="14"/>
      <c r="N169" s="14"/>
      <c r="O169" s="14"/>
      <c r="P169" s="14"/>
      <c r="Q169" s="15">
        <f t="shared" ref="Q169:Q171" si="22">AVERAGE(K169:P169)/100</f>
        <v>1</v>
      </c>
      <c r="R169" s="11" t="s">
        <v>363</v>
      </c>
      <c r="S169" s="9"/>
      <c r="T169" s="9"/>
      <c r="U169" s="9"/>
      <c r="V169" s="9"/>
      <c r="W169" s="9"/>
      <c r="X169" s="9"/>
      <c r="Y169" s="9"/>
    </row>
    <row r="170" hidden="1">
      <c r="A170" s="10">
        <v>45523.57719776621</v>
      </c>
      <c r="B170" s="10" t="str">
        <f t="shared" si="1"/>
        <v>Kenneth SchellQ1: June 2024 - August 20242ND3.C</v>
      </c>
      <c r="C170" s="11" t="s">
        <v>361</v>
      </c>
      <c r="D170" s="11" t="s">
        <v>362</v>
      </c>
      <c r="E170" s="11" t="s">
        <v>21</v>
      </c>
      <c r="F170" s="11" t="s">
        <v>246</v>
      </c>
      <c r="G170" s="11"/>
      <c r="H170" s="12"/>
      <c r="I170" s="11" t="s">
        <v>61</v>
      </c>
      <c r="J170" s="11" t="s">
        <v>28</v>
      </c>
      <c r="K170" s="13">
        <v>100.0</v>
      </c>
      <c r="L170" s="14"/>
      <c r="M170" s="14"/>
      <c r="N170" s="14"/>
      <c r="O170" s="14"/>
      <c r="P170" s="14"/>
      <c r="Q170" s="15">
        <f t="shared" si="22"/>
        <v>1</v>
      </c>
      <c r="R170" s="11" t="s">
        <v>364</v>
      </c>
      <c r="S170" s="9"/>
      <c r="T170" s="9"/>
      <c r="U170" s="9"/>
      <c r="V170" s="9"/>
      <c r="W170" s="9"/>
      <c r="X170" s="9"/>
      <c r="Y170" s="9"/>
    </row>
    <row r="171" hidden="1">
      <c r="A171" s="10">
        <v>45702.60112010417</v>
      </c>
      <c r="B171" s="10" t="str">
        <f t="shared" si="1"/>
        <v>Kevin DugayQ3: December 2024 - February 20251ST1.C</v>
      </c>
      <c r="C171" s="11" t="s">
        <v>365</v>
      </c>
      <c r="D171" s="11" t="s">
        <v>366</v>
      </c>
      <c r="E171" s="11" t="s">
        <v>40</v>
      </c>
      <c r="F171" s="11" t="s">
        <v>115</v>
      </c>
      <c r="G171" s="11"/>
      <c r="H171" s="12"/>
      <c r="I171" s="11" t="s">
        <v>42</v>
      </c>
      <c r="J171" s="11" t="s">
        <v>32</v>
      </c>
      <c r="K171" s="13">
        <v>75.0</v>
      </c>
      <c r="L171" s="14"/>
      <c r="M171" s="14"/>
      <c r="N171" s="14"/>
      <c r="O171" s="14"/>
      <c r="P171" s="14"/>
      <c r="Q171" s="15">
        <f t="shared" si="22"/>
        <v>0.75</v>
      </c>
      <c r="R171" s="11" t="s">
        <v>367</v>
      </c>
      <c r="S171" s="9"/>
      <c r="T171" s="9"/>
      <c r="U171" s="9"/>
      <c r="V171" s="9"/>
      <c r="W171" s="9"/>
      <c r="X171" s="9"/>
      <c r="Y171" s="9"/>
    </row>
    <row r="172" hidden="1">
      <c r="A172" s="10">
        <v>45796.88433586806</v>
      </c>
      <c r="B172" s="10" t="str">
        <f t="shared" si="1"/>
        <v>Kevin DugayQ4: March 2025 - May 20251ST1.C</v>
      </c>
      <c r="C172" s="11" t="s">
        <v>365</v>
      </c>
      <c r="D172" s="11" t="s">
        <v>366</v>
      </c>
      <c r="E172" s="11" t="s">
        <v>45</v>
      </c>
      <c r="F172" s="11" t="s">
        <v>115</v>
      </c>
      <c r="G172" s="11"/>
      <c r="H172" s="12"/>
      <c r="I172" s="11" t="s">
        <v>42</v>
      </c>
      <c r="J172" s="11" t="s">
        <v>32</v>
      </c>
      <c r="K172" s="11">
        <v>75.0</v>
      </c>
      <c r="L172" s="9"/>
      <c r="M172" s="9"/>
      <c r="N172" s="9"/>
      <c r="O172" s="9"/>
      <c r="P172" s="9"/>
      <c r="Q172" s="11">
        <v>75.0</v>
      </c>
      <c r="R172" s="11" t="s">
        <v>368</v>
      </c>
      <c r="S172" s="9"/>
      <c r="T172" s="9"/>
      <c r="U172" s="9"/>
      <c r="V172" s="9"/>
      <c r="W172" s="9"/>
      <c r="X172" s="9"/>
      <c r="Y172" s="9"/>
    </row>
    <row r="173" hidden="1">
      <c r="A173" s="10">
        <v>45523.61907475695</v>
      </c>
      <c r="B173" s="10" t="str">
        <f t="shared" si="1"/>
        <v>Kevin DugayQ1: June 2024 - August 20241ST1.C</v>
      </c>
      <c r="C173" s="11" t="s">
        <v>365</v>
      </c>
      <c r="D173" s="11" t="s">
        <v>366</v>
      </c>
      <c r="E173" s="11" t="s">
        <v>21</v>
      </c>
      <c r="F173" s="11" t="s">
        <v>89</v>
      </c>
      <c r="G173" s="11" t="s">
        <v>115</v>
      </c>
      <c r="H173" s="12"/>
      <c r="I173" s="11" t="s">
        <v>42</v>
      </c>
      <c r="J173" s="11" t="s">
        <v>32</v>
      </c>
      <c r="K173" s="13">
        <v>100.0</v>
      </c>
      <c r="L173" s="14"/>
      <c r="M173" s="14"/>
      <c r="N173" s="14"/>
      <c r="O173" s="14"/>
      <c r="P173" s="14"/>
      <c r="Q173" s="15">
        <f t="shared" ref="Q173:Q178" si="23">AVERAGE(K173:P173)/100</f>
        <v>1</v>
      </c>
      <c r="R173" s="11" t="s">
        <v>369</v>
      </c>
      <c r="S173" s="9"/>
      <c r="T173" s="9"/>
      <c r="U173" s="9"/>
      <c r="V173" s="9"/>
      <c r="W173" s="9"/>
      <c r="X173" s="9"/>
      <c r="Y173" s="9"/>
    </row>
    <row r="174" hidden="1">
      <c r="A174" s="10">
        <v>45709.55599434028</v>
      </c>
      <c r="B174" s="10" t="str">
        <f t="shared" si="1"/>
        <v>Kimberly ThomasQ1: June 2024 - August 20243RD2.C</v>
      </c>
      <c r="C174" s="11" t="s">
        <v>370</v>
      </c>
      <c r="D174" s="11" t="s">
        <v>371</v>
      </c>
      <c r="E174" s="11" t="s">
        <v>21</v>
      </c>
      <c r="F174" s="11" t="s">
        <v>372</v>
      </c>
      <c r="G174" s="9"/>
      <c r="H174" s="12"/>
      <c r="I174" s="11" t="s">
        <v>27</v>
      </c>
      <c r="J174" s="11" t="s">
        <v>24</v>
      </c>
      <c r="K174" s="13">
        <v>50.0</v>
      </c>
      <c r="L174" s="13">
        <v>100.0</v>
      </c>
      <c r="M174" s="14"/>
      <c r="N174" s="14"/>
      <c r="O174" s="14"/>
      <c r="P174" s="14"/>
      <c r="Q174" s="15">
        <f t="shared" si="23"/>
        <v>0.75</v>
      </c>
      <c r="R174" s="11" t="s">
        <v>373</v>
      </c>
      <c r="S174" s="9"/>
      <c r="T174" s="9"/>
      <c r="U174" s="9"/>
      <c r="V174" s="9"/>
      <c r="W174" s="9"/>
      <c r="X174" s="9"/>
      <c r="Y174" s="9"/>
    </row>
    <row r="175" hidden="1">
      <c r="A175" s="10">
        <v>45709.566293738426</v>
      </c>
      <c r="B175" s="10" t="str">
        <f t="shared" si="1"/>
        <v>Kimberly ThomasQ1: June 2024 - August 20242ND2.C</v>
      </c>
      <c r="C175" s="11" t="s">
        <v>370</v>
      </c>
      <c r="D175" s="11" t="s">
        <v>371</v>
      </c>
      <c r="E175" s="11" t="s">
        <v>21</v>
      </c>
      <c r="F175" s="11" t="s">
        <v>372</v>
      </c>
      <c r="G175" s="9"/>
      <c r="H175" s="12"/>
      <c r="I175" s="11" t="s">
        <v>27</v>
      </c>
      <c r="J175" s="11" t="s">
        <v>28</v>
      </c>
      <c r="K175" s="13">
        <v>15.0</v>
      </c>
      <c r="L175" s="13">
        <v>15.0</v>
      </c>
      <c r="M175" s="14"/>
      <c r="N175" s="14"/>
      <c r="O175" s="14"/>
      <c r="P175" s="14"/>
      <c r="Q175" s="15">
        <f t="shared" si="23"/>
        <v>0.15</v>
      </c>
      <c r="R175" s="11" t="s">
        <v>374</v>
      </c>
      <c r="S175" s="9"/>
      <c r="T175" s="9"/>
      <c r="U175" s="9"/>
      <c r="V175" s="9"/>
      <c r="W175" s="9"/>
      <c r="X175" s="9"/>
      <c r="Y175" s="9"/>
    </row>
    <row r="176" hidden="1">
      <c r="A176" s="10">
        <v>45607.712140613425</v>
      </c>
      <c r="B176" s="10" t="str">
        <f t="shared" si="1"/>
        <v>Kimberly ThomasQ2: September 2024 - November 20241ST2.C</v>
      </c>
      <c r="C176" s="11" t="s">
        <v>370</v>
      </c>
      <c r="D176" s="11" t="s">
        <v>371</v>
      </c>
      <c r="E176" s="11" t="s">
        <v>34</v>
      </c>
      <c r="F176" s="11" t="s">
        <v>372</v>
      </c>
      <c r="G176" s="11"/>
      <c r="H176" s="12"/>
      <c r="I176" s="11" t="s">
        <v>27</v>
      </c>
      <c r="J176" s="11" t="s">
        <v>32</v>
      </c>
      <c r="K176" s="13">
        <v>100.0</v>
      </c>
      <c r="L176" s="14"/>
      <c r="M176" s="14"/>
      <c r="N176" s="14"/>
      <c r="O176" s="14"/>
      <c r="P176" s="14"/>
      <c r="Q176" s="15">
        <f t="shared" si="23"/>
        <v>1</v>
      </c>
      <c r="R176" s="11" t="s">
        <v>375</v>
      </c>
      <c r="S176" s="9"/>
      <c r="T176" s="9"/>
      <c r="U176" s="9"/>
      <c r="V176" s="9"/>
      <c r="W176" s="9"/>
      <c r="X176" s="9"/>
      <c r="Y176" s="9"/>
    </row>
    <row r="177" hidden="1">
      <c r="A177" s="10">
        <v>45607.71398454861</v>
      </c>
      <c r="B177" s="10" t="str">
        <f t="shared" si="1"/>
        <v>Kimberly ThomasQ2: September 2024 - November 20242ND1.A, 2.C</v>
      </c>
      <c r="C177" s="11" t="s">
        <v>370</v>
      </c>
      <c r="D177" s="11" t="s">
        <v>371</v>
      </c>
      <c r="E177" s="11" t="s">
        <v>34</v>
      </c>
      <c r="F177" s="11" t="s">
        <v>372</v>
      </c>
      <c r="G177" s="11" t="s">
        <v>376</v>
      </c>
      <c r="H177" s="12"/>
      <c r="I177" s="11" t="s">
        <v>377</v>
      </c>
      <c r="J177" s="11" t="s">
        <v>28</v>
      </c>
      <c r="K177" s="13">
        <v>100.0</v>
      </c>
      <c r="L177" s="14"/>
      <c r="M177" s="14"/>
      <c r="N177" s="14"/>
      <c r="O177" s="14"/>
      <c r="P177" s="14"/>
      <c r="Q177" s="15">
        <f t="shared" si="23"/>
        <v>1</v>
      </c>
      <c r="R177" s="11" t="s">
        <v>378</v>
      </c>
      <c r="S177" s="9"/>
      <c r="T177" s="9"/>
      <c r="U177" s="9"/>
      <c r="V177" s="9"/>
      <c r="W177" s="9"/>
      <c r="X177" s="9"/>
      <c r="Y177" s="9"/>
    </row>
    <row r="178" hidden="1">
      <c r="A178" s="10">
        <v>45709.60855568287</v>
      </c>
      <c r="B178" s="10" t="str">
        <f t="shared" si="1"/>
        <v>Kimberly ThomasQ3: December 2024 - February 20251ST1.A, 2.C, 2.D</v>
      </c>
      <c r="C178" s="11" t="s">
        <v>370</v>
      </c>
      <c r="D178" s="11" t="s">
        <v>371</v>
      </c>
      <c r="E178" s="11" t="s">
        <v>40</v>
      </c>
      <c r="F178" s="11" t="s">
        <v>372</v>
      </c>
      <c r="G178" s="9"/>
      <c r="H178" s="12"/>
      <c r="I178" s="11" t="s">
        <v>379</v>
      </c>
      <c r="J178" s="11" t="s">
        <v>32</v>
      </c>
      <c r="K178" s="13">
        <v>100.0</v>
      </c>
      <c r="L178" s="14"/>
      <c r="M178" s="14"/>
      <c r="N178" s="14"/>
      <c r="O178" s="14"/>
      <c r="P178" s="14"/>
      <c r="Q178" s="15">
        <f t="shared" si="23"/>
        <v>1</v>
      </c>
      <c r="R178" s="11" t="s">
        <v>380</v>
      </c>
      <c r="S178" s="9"/>
      <c r="T178" s="9"/>
      <c r="U178" s="9"/>
      <c r="V178" s="9"/>
      <c r="W178" s="9"/>
      <c r="X178" s="9"/>
      <c r="Y178" s="9"/>
    </row>
    <row r="179" hidden="1">
      <c r="A179" s="10">
        <v>45793.780311967595</v>
      </c>
      <c r="B179" s="10" t="str">
        <f t="shared" si="1"/>
        <v>Kimberly ThomasQ4: March 2025 - May 20251st1.A</v>
      </c>
      <c r="C179" s="11" t="s">
        <v>370</v>
      </c>
      <c r="D179" s="11" t="s">
        <v>371</v>
      </c>
      <c r="E179" s="11" t="s">
        <v>45</v>
      </c>
      <c r="F179" s="11" t="s">
        <v>372</v>
      </c>
      <c r="G179" s="9"/>
      <c r="H179" s="12"/>
      <c r="I179" s="11" t="s">
        <v>56</v>
      </c>
      <c r="J179" s="11" t="s">
        <v>233</v>
      </c>
      <c r="K179" s="11">
        <v>20.0</v>
      </c>
      <c r="L179" s="11" t="s">
        <v>381</v>
      </c>
      <c r="M179" s="9"/>
      <c r="N179" s="9"/>
      <c r="O179" s="9"/>
      <c r="P179" s="9"/>
      <c r="Q179" s="11">
        <v>48.0</v>
      </c>
      <c r="R179" s="11" t="s">
        <v>382</v>
      </c>
      <c r="S179" s="9"/>
      <c r="T179" s="9"/>
      <c r="U179" s="9"/>
      <c r="V179" s="9"/>
      <c r="W179" s="9"/>
      <c r="X179" s="9"/>
      <c r="Y179" s="9"/>
    </row>
    <row r="180" hidden="1">
      <c r="A180" s="10">
        <v>45797.4190465625</v>
      </c>
      <c r="B180" s="10" t="str">
        <f t="shared" si="1"/>
        <v>MaKailee GeorgeQ4: March 2025 - May 20255th2.C</v>
      </c>
      <c r="C180" s="11" t="s">
        <v>383</v>
      </c>
      <c r="D180" s="11" t="s">
        <v>384</v>
      </c>
      <c r="E180" s="11" t="s">
        <v>45</v>
      </c>
      <c r="F180" s="11" t="s">
        <v>89</v>
      </c>
      <c r="G180" s="9"/>
      <c r="H180" s="12"/>
      <c r="I180" s="11" t="s">
        <v>27</v>
      </c>
      <c r="J180" s="11" t="s">
        <v>385</v>
      </c>
      <c r="K180" s="11">
        <v>31.0</v>
      </c>
      <c r="L180" s="11">
        <v>100.0</v>
      </c>
      <c r="M180" s="11">
        <v>31.0</v>
      </c>
      <c r="N180" s="9"/>
      <c r="O180" s="9"/>
      <c r="P180" s="9"/>
      <c r="Q180" s="11">
        <v>54.0</v>
      </c>
      <c r="R180" s="11" t="s">
        <v>386</v>
      </c>
      <c r="S180" s="9"/>
      <c r="T180" s="9"/>
      <c r="U180" s="9"/>
      <c r="V180" s="9"/>
      <c r="W180" s="9"/>
      <c r="X180" s="9"/>
      <c r="Y180" s="9"/>
    </row>
    <row r="181" hidden="1">
      <c r="A181" s="10">
        <v>45525.38413118056</v>
      </c>
      <c r="B181" s="10" t="str">
        <f t="shared" si="1"/>
        <v>Marcus MoellerQ1: June 2024 - August 20243RD3.A</v>
      </c>
      <c r="C181" s="11" t="s">
        <v>387</v>
      </c>
      <c r="D181" s="11" t="s">
        <v>388</v>
      </c>
      <c r="E181" s="11" t="s">
        <v>21</v>
      </c>
      <c r="F181" s="11" t="s">
        <v>277</v>
      </c>
      <c r="G181" s="11" t="s">
        <v>389</v>
      </c>
      <c r="H181" s="12"/>
      <c r="I181" s="11" t="s">
        <v>94</v>
      </c>
      <c r="J181" s="11" t="s">
        <v>24</v>
      </c>
      <c r="K181" s="13">
        <v>80.0</v>
      </c>
      <c r="L181" s="14"/>
      <c r="M181" s="14"/>
      <c r="N181" s="14"/>
      <c r="O181" s="14"/>
      <c r="P181" s="14"/>
      <c r="Q181" s="15">
        <f t="shared" ref="Q181:Q183" si="24">AVERAGE(K181:P181)/100</f>
        <v>0.8</v>
      </c>
      <c r="R181" s="11" t="s">
        <v>390</v>
      </c>
      <c r="S181" s="9"/>
      <c r="T181" s="9"/>
      <c r="U181" s="9"/>
      <c r="V181" s="9"/>
      <c r="W181" s="9"/>
      <c r="X181" s="9"/>
      <c r="Y181" s="9"/>
    </row>
    <row r="182" hidden="1">
      <c r="A182" s="10">
        <v>45525.38251462963</v>
      </c>
      <c r="B182" s="10" t="str">
        <f t="shared" si="1"/>
        <v>Marcus MoellerQ1: June 2024 - August 20241ST1.A,1.C</v>
      </c>
      <c r="C182" s="11" t="s">
        <v>387</v>
      </c>
      <c r="D182" s="11" t="s">
        <v>388</v>
      </c>
      <c r="E182" s="11" t="s">
        <v>21</v>
      </c>
      <c r="F182" s="11" t="s">
        <v>277</v>
      </c>
      <c r="G182" s="11" t="s">
        <v>391</v>
      </c>
      <c r="H182" s="12"/>
      <c r="I182" s="11" t="s">
        <v>118</v>
      </c>
      <c r="J182" s="11" t="s">
        <v>32</v>
      </c>
      <c r="K182" s="13">
        <v>72.0</v>
      </c>
      <c r="L182" s="14"/>
      <c r="M182" s="14"/>
      <c r="N182" s="14"/>
      <c r="O182" s="14"/>
      <c r="P182" s="14"/>
      <c r="Q182" s="15">
        <f t="shared" si="24"/>
        <v>0.72</v>
      </c>
      <c r="R182" s="11" t="s">
        <v>392</v>
      </c>
      <c r="S182" s="9"/>
      <c r="T182" s="9"/>
      <c r="U182" s="9"/>
      <c r="V182" s="9"/>
      <c r="W182" s="9"/>
      <c r="X182" s="9"/>
      <c r="Y182" s="9"/>
    </row>
    <row r="183" hidden="1">
      <c r="A183" s="10">
        <v>45702.42931314815</v>
      </c>
      <c r="B183" s="10" t="str">
        <f t="shared" si="1"/>
        <v>Marcus MoellerQ2: September 2024 - November 20242ND1.A, 1.C, 1.D</v>
      </c>
      <c r="C183" s="11" t="s">
        <v>387</v>
      </c>
      <c r="D183" s="11" t="s">
        <v>388</v>
      </c>
      <c r="E183" s="11" t="s">
        <v>34</v>
      </c>
      <c r="F183" s="11" t="s">
        <v>277</v>
      </c>
      <c r="G183" s="9"/>
      <c r="H183" s="12"/>
      <c r="I183" s="11" t="s">
        <v>303</v>
      </c>
      <c r="J183" s="11" t="s">
        <v>28</v>
      </c>
      <c r="K183" s="13">
        <v>90.0</v>
      </c>
      <c r="L183" s="14"/>
      <c r="M183" s="14"/>
      <c r="N183" s="14"/>
      <c r="O183" s="14"/>
      <c r="P183" s="14"/>
      <c r="Q183" s="15">
        <f t="shared" si="24"/>
        <v>0.9</v>
      </c>
      <c r="R183" s="11" t="s">
        <v>393</v>
      </c>
      <c r="S183" s="9"/>
      <c r="T183" s="9"/>
      <c r="U183" s="9"/>
      <c r="V183" s="9"/>
      <c r="W183" s="9"/>
      <c r="X183" s="9"/>
      <c r="Y183" s="9"/>
    </row>
    <row r="184" hidden="1">
      <c r="A184" s="21" t="s">
        <v>106</v>
      </c>
      <c r="B184" s="10" t="str">
        <f t="shared" si="1"/>
        <v>Marcus MoellerQ2: September 2024 - November 20243rd1.A, 1.C, 1.D, 2.D</v>
      </c>
      <c r="C184" s="11" t="s">
        <v>387</v>
      </c>
      <c r="D184" s="11" t="s">
        <v>388</v>
      </c>
      <c r="E184" s="11" t="s">
        <v>34</v>
      </c>
      <c r="F184" s="11" t="s">
        <v>277</v>
      </c>
      <c r="G184" s="11" t="s">
        <v>394</v>
      </c>
      <c r="H184" s="22"/>
      <c r="I184" s="11" t="s">
        <v>282</v>
      </c>
      <c r="J184" s="11" t="s">
        <v>395</v>
      </c>
      <c r="K184" s="13">
        <v>0.0</v>
      </c>
      <c r="L184" s="13">
        <v>0.0</v>
      </c>
      <c r="M184" s="13">
        <v>0.0</v>
      </c>
      <c r="N184" s="13">
        <v>0.0</v>
      </c>
      <c r="O184" s="13">
        <v>0.0</v>
      </c>
      <c r="P184" s="14"/>
      <c r="Q184" s="23">
        <v>0.0</v>
      </c>
      <c r="R184" s="24" t="s">
        <v>396</v>
      </c>
      <c r="S184" s="9"/>
      <c r="T184" s="9"/>
      <c r="U184" s="9"/>
      <c r="V184" s="9"/>
      <c r="W184" s="9"/>
      <c r="X184" s="9"/>
      <c r="Y184" s="9"/>
    </row>
    <row r="185" hidden="1">
      <c r="A185" s="10">
        <v>45702.43573033565</v>
      </c>
      <c r="B185" s="10" t="str">
        <f t="shared" si="1"/>
        <v>Marcus MoellerQ3: December 2024 - February 20252ND1.A, 1.C</v>
      </c>
      <c r="C185" s="11" t="s">
        <v>387</v>
      </c>
      <c r="D185" s="11" t="s">
        <v>388</v>
      </c>
      <c r="E185" s="11" t="s">
        <v>40</v>
      </c>
      <c r="F185" s="11" t="s">
        <v>277</v>
      </c>
      <c r="G185" s="9"/>
      <c r="H185" s="12"/>
      <c r="I185" s="11" t="s">
        <v>122</v>
      </c>
      <c r="J185" s="11" t="s">
        <v>28</v>
      </c>
      <c r="K185" s="13">
        <v>70.0</v>
      </c>
      <c r="L185" s="14"/>
      <c r="M185" s="14"/>
      <c r="N185" s="14"/>
      <c r="O185" s="14"/>
      <c r="P185" s="14"/>
      <c r="Q185" s="15">
        <f>AVERAGE(K185:P185)/100</f>
        <v>0.7</v>
      </c>
      <c r="R185" s="11" t="s">
        <v>397</v>
      </c>
      <c r="S185" s="9"/>
      <c r="T185" s="9"/>
      <c r="U185" s="9"/>
      <c r="V185" s="9"/>
      <c r="W185" s="9"/>
      <c r="X185" s="9"/>
      <c r="Y185" s="9"/>
    </row>
    <row r="186" hidden="1">
      <c r="A186" s="10">
        <v>45819.50201467593</v>
      </c>
      <c r="B186" s="10" t="str">
        <f t="shared" si="1"/>
        <v>Marcus MoellerQ4: March 2025 - May 20252ND3.A, 3.B, 3.C</v>
      </c>
      <c r="C186" s="11" t="s">
        <v>387</v>
      </c>
      <c r="D186" s="11" t="s">
        <v>388</v>
      </c>
      <c r="E186" s="11" t="s">
        <v>45</v>
      </c>
      <c r="F186" s="11" t="s">
        <v>277</v>
      </c>
      <c r="G186" s="9"/>
      <c r="H186" s="12"/>
      <c r="I186" s="11" t="s">
        <v>398</v>
      </c>
      <c r="J186" s="11" t="s">
        <v>28</v>
      </c>
      <c r="K186" s="11">
        <v>70.0</v>
      </c>
      <c r="L186" s="11">
        <v>50.0</v>
      </c>
      <c r="M186" s="9"/>
      <c r="N186" s="9"/>
      <c r="O186" s="9"/>
      <c r="P186" s="9"/>
      <c r="Q186" s="11">
        <v>60.0</v>
      </c>
      <c r="R186" s="11" t="s">
        <v>399</v>
      </c>
      <c r="S186" s="9"/>
      <c r="T186" s="9"/>
      <c r="U186" s="9"/>
      <c r="V186" s="9"/>
      <c r="W186" s="9"/>
      <c r="X186" s="9"/>
      <c r="Y186" s="9"/>
    </row>
    <row r="187" hidden="1">
      <c r="A187" s="10">
        <v>45819.50108965278</v>
      </c>
      <c r="B187" s="10" t="str">
        <f t="shared" si="1"/>
        <v>Marcus MoellerQ4: March 2025 - May 20251ST1.C</v>
      </c>
      <c r="C187" s="11" t="s">
        <v>387</v>
      </c>
      <c r="D187" s="11" t="s">
        <v>388</v>
      </c>
      <c r="E187" s="11" t="s">
        <v>45</v>
      </c>
      <c r="F187" s="11" t="s">
        <v>277</v>
      </c>
      <c r="G187" s="9"/>
      <c r="H187" s="12"/>
      <c r="I187" s="11" t="s">
        <v>42</v>
      </c>
      <c r="J187" s="11" t="s">
        <v>32</v>
      </c>
      <c r="K187" s="11">
        <v>60.0</v>
      </c>
      <c r="L187" s="11">
        <v>65.0</v>
      </c>
      <c r="M187" s="9"/>
      <c r="N187" s="9"/>
      <c r="O187" s="9"/>
      <c r="P187" s="9"/>
      <c r="Q187" s="23">
        <v>0.63</v>
      </c>
      <c r="R187" s="11" t="s">
        <v>400</v>
      </c>
      <c r="S187" s="9"/>
      <c r="T187" s="9"/>
      <c r="U187" s="9"/>
      <c r="V187" s="9"/>
      <c r="W187" s="9"/>
      <c r="X187" s="9"/>
      <c r="Y187" s="9"/>
    </row>
    <row r="188" hidden="1">
      <c r="A188" s="10">
        <v>45702.43633615741</v>
      </c>
      <c r="B188" s="10" t="str">
        <f t="shared" si="1"/>
        <v>Marcus MoellerQ3: December 2024 - February 20253RD3.A, 3.B, 3.D</v>
      </c>
      <c r="C188" s="11" t="s">
        <v>387</v>
      </c>
      <c r="D188" s="11" t="s">
        <v>388</v>
      </c>
      <c r="E188" s="11" t="s">
        <v>40</v>
      </c>
      <c r="F188" s="11" t="s">
        <v>277</v>
      </c>
      <c r="G188" s="11" t="s">
        <v>401</v>
      </c>
      <c r="H188" s="12"/>
      <c r="I188" s="11" t="s">
        <v>402</v>
      </c>
      <c r="J188" s="11" t="s">
        <v>24</v>
      </c>
      <c r="K188" s="13">
        <v>95.0</v>
      </c>
      <c r="L188" s="14"/>
      <c r="M188" s="14"/>
      <c r="N188" s="14"/>
      <c r="O188" s="14"/>
      <c r="P188" s="14"/>
      <c r="Q188" s="15">
        <f t="shared" ref="Q188:Q191" si="25">AVERAGE(K188:P188)/100</f>
        <v>0.95</v>
      </c>
      <c r="R188" s="11" t="s">
        <v>403</v>
      </c>
      <c r="S188" s="9"/>
      <c r="T188" s="9"/>
      <c r="U188" s="9"/>
      <c r="V188" s="9"/>
      <c r="W188" s="9"/>
      <c r="X188" s="9"/>
      <c r="Y188" s="9"/>
    </row>
    <row r="189" hidden="1">
      <c r="A189" s="10">
        <v>45517.491526365746</v>
      </c>
      <c r="B189" s="10" t="str">
        <f t="shared" si="1"/>
        <v>Mark PickensQ1: June 2024 - August 20241ST1.B</v>
      </c>
      <c r="C189" s="11" t="s">
        <v>404</v>
      </c>
      <c r="D189" s="11" t="s">
        <v>405</v>
      </c>
      <c r="E189" s="11" t="s">
        <v>21</v>
      </c>
      <c r="F189" s="11" t="s">
        <v>406</v>
      </c>
      <c r="G189" s="9"/>
      <c r="H189" s="12"/>
      <c r="I189" s="11" t="s">
        <v>318</v>
      </c>
      <c r="J189" s="11" t="s">
        <v>32</v>
      </c>
      <c r="K189" s="13">
        <v>100.0</v>
      </c>
      <c r="L189" s="13">
        <v>100.0</v>
      </c>
      <c r="M189" s="13">
        <v>100.0</v>
      </c>
      <c r="N189" s="13">
        <v>100.0</v>
      </c>
      <c r="O189" s="14"/>
      <c r="P189" s="14"/>
      <c r="Q189" s="15">
        <f t="shared" si="25"/>
        <v>1</v>
      </c>
      <c r="R189" s="11" t="s">
        <v>407</v>
      </c>
      <c r="S189" s="9"/>
      <c r="T189" s="9"/>
      <c r="U189" s="9"/>
      <c r="V189" s="9"/>
      <c r="W189" s="9"/>
      <c r="X189" s="9"/>
      <c r="Y189" s="9"/>
    </row>
    <row r="190" hidden="1">
      <c r="A190" s="10">
        <v>45606.604331932875</v>
      </c>
      <c r="B190" s="10" t="str">
        <f t="shared" si="1"/>
        <v>Mark PickensQ2: September 2024 - November 20241ST1.A</v>
      </c>
      <c r="C190" s="11" t="s">
        <v>404</v>
      </c>
      <c r="D190" s="11" t="s">
        <v>405</v>
      </c>
      <c r="E190" s="11" t="s">
        <v>34</v>
      </c>
      <c r="F190" s="11" t="s">
        <v>406</v>
      </c>
      <c r="G190" s="9"/>
      <c r="H190" s="12"/>
      <c r="I190" s="11" t="s">
        <v>56</v>
      </c>
      <c r="J190" s="11" t="s">
        <v>32</v>
      </c>
      <c r="K190" s="13">
        <v>100.0</v>
      </c>
      <c r="L190" s="13">
        <v>90.0</v>
      </c>
      <c r="M190" s="13">
        <v>0.0</v>
      </c>
      <c r="N190" s="14"/>
      <c r="O190" s="14"/>
      <c r="P190" s="14"/>
      <c r="Q190" s="15">
        <f t="shared" si="25"/>
        <v>0.6333333333</v>
      </c>
      <c r="R190" s="11" t="s">
        <v>408</v>
      </c>
      <c r="S190" s="9"/>
      <c r="T190" s="9"/>
      <c r="U190" s="9"/>
      <c r="V190" s="9"/>
      <c r="W190" s="9"/>
      <c r="X190" s="9"/>
      <c r="Y190" s="9"/>
    </row>
    <row r="191" hidden="1">
      <c r="A191" s="10">
        <v>45702.50929564815</v>
      </c>
      <c r="B191" s="10" t="str">
        <f t="shared" si="1"/>
        <v>Mark PickensQ3: December 2024 - February 20251ST1.A</v>
      </c>
      <c r="C191" s="11" t="s">
        <v>404</v>
      </c>
      <c r="D191" s="11" t="s">
        <v>405</v>
      </c>
      <c r="E191" s="11" t="s">
        <v>40</v>
      </c>
      <c r="F191" s="11" t="s">
        <v>406</v>
      </c>
      <c r="G191" s="9"/>
      <c r="H191" s="12"/>
      <c r="I191" s="11" t="s">
        <v>56</v>
      </c>
      <c r="J191" s="11" t="s">
        <v>32</v>
      </c>
      <c r="K191" s="13">
        <v>100.0</v>
      </c>
      <c r="L191" s="13">
        <v>50.0</v>
      </c>
      <c r="M191" s="14"/>
      <c r="N191" s="14"/>
      <c r="O191" s="14"/>
      <c r="P191" s="14"/>
      <c r="Q191" s="15">
        <f t="shared" si="25"/>
        <v>0.75</v>
      </c>
      <c r="R191" s="11" t="s">
        <v>409</v>
      </c>
      <c r="S191" s="9"/>
      <c r="T191" s="9"/>
      <c r="U191" s="9"/>
      <c r="V191" s="9"/>
      <c r="W191" s="9"/>
      <c r="X191" s="9"/>
      <c r="Y191" s="9"/>
    </row>
    <row r="192" hidden="1">
      <c r="A192" s="10">
        <v>45786.49280892361</v>
      </c>
      <c r="B192" s="10" t="str">
        <f t="shared" si="1"/>
        <v>Mark PickensQ4: March 2025 - May 20251ST3.B</v>
      </c>
      <c r="C192" s="11" t="s">
        <v>404</v>
      </c>
      <c r="D192" s="11" t="s">
        <v>405</v>
      </c>
      <c r="E192" s="11" t="s">
        <v>45</v>
      </c>
      <c r="F192" s="11" t="s">
        <v>406</v>
      </c>
      <c r="G192" s="9"/>
      <c r="H192" s="12"/>
      <c r="I192" s="16" t="s">
        <v>149</v>
      </c>
      <c r="J192" s="11" t="s">
        <v>32</v>
      </c>
      <c r="K192" s="11">
        <v>33.0</v>
      </c>
      <c r="L192" s="9"/>
      <c r="M192" s="9"/>
      <c r="N192" s="9"/>
      <c r="O192" s="9"/>
      <c r="P192" s="9"/>
      <c r="Q192" s="11">
        <v>33.0</v>
      </c>
      <c r="R192" s="11" t="s">
        <v>410</v>
      </c>
      <c r="S192" s="9"/>
      <c r="T192" s="9"/>
      <c r="U192" s="9"/>
      <c r="V192" s="9"/>
      <c r="W192" s="9"/>
      <c r="X192" s="9"/>
      <c r="Y192" s="9"/>
    </row>
    <row r="193" hidden="1">
      <c r="A193" s="10">
        <v>45786.53358940972</v>
      </c>
      <c r="B193" s="10" t="str">
        <f t="shared" si="1"/>
        <v>Mark PickensQ4: March 2025 - May 20252ND3.C</v>
      </c>
      <c r="C193" s="11" t="s">
        <v>404</v>
      </c>
      <c r="D193" s="11" t="s">
        <v>405</v>
      </c>
      <c r="E193" s="11" t="s">
        <v>45</v>
      </c>
      <c r="F193" s="11" t="s">
        <v>406</v>
      </c>
      <c r="G193" s="9"/>
      <c r="H193" s="12"/>
      <c r="I193" s="16" t="s">
        <v>61</v>
      </c>
      <c r="J193" s="11" t="s">
        <v>28</v>
      </c>
      <c r="K193" s="11">
        <v>100.0</v>
      </c>
      <c r="L193" s="11">
        <v>100.0</v>
      </c>
      <c r="M193" s="9"/>
      <c r="N193" s="9"/>
      <c r="O193" s="9"/>
      <c r="P193" s="9"/>
      <c r="Q193" s="11">
        <v>100.0</v>
      </c>
      <c r="R193" s="11" t="s">
        <v>411</v>
      </c>
      <c r="S193" s="9"/>
      <c r="T193" s="9"/>
      <c r="U193" s="9"/>
      <c r="V193" s="9"/>
      <c r="W193" s="9"/>
      <c r="X193" s="9"/>
      <c r="Y193" s="9"/>
    </row>
    <row r="194" hidden="1">
      <c r="A194" s="10">
        <v>45523.35771755787</v>
      </c>
      <c r="B194" s="10" t="str">
        <f t="shared" si="1"/>
        <v>Marsha KendrickQ1: June 2024 - August 20242ND2.C</v>
      </c>
      <c r="C194" s="11" t="s">
        <v>412</v>
      </c>
      <c r="D194" s="11" t="s">
        <v>413</v>
      </c>
      <c r="E194" s="11" t="s">
        <v>21</v>
      </c>
      <c r="F194" s="11" t="s">
        <v>414</v>
      </c>
      <c r="G194" s="11" t="s">
        <v>415</v>
      </c>
      <c r="H194" s="12"/>
      <c r="I194" s="11" t="s">
        <v>27</v>
      </c>
      <c r="J194" s="11" t="s">
        <v>28</v>
      </c>
      <c r="K194" s="13">
        <v>100.0</v>
      </c>
      <c r="L194" s="14"/>
      <c r="M194" s="14"/>
      <c r="N194" s="14"/>
      <c r="O194" s="14"/>
      <c r="P194" s="14"/>
      <c r="Q194" s="15">
        <f t="shared" ref="Q194:Q200" si="26">AVERAGE(K194:P194)/100</f>
        <v>1</v>
      </c>
      <c r="R194" s="11" t="s">
        <v>416</v>
      </c>
      <c r="S194" s="9"/>
      <c r="T194" s="9"/>
      <c r="U194" s="9"/>
      <c r="V194" s="9"/>
      <c r="W194" s="9"/>
      <c r="X194" s="9"/>
      <c r="Y194" s="9"/>
    </row>
    <row r="195" hidden="1">
      <c r="A195" s="10">
        <v>45523.36733912037</v>
      </c>
      <c r="B195" s="10" t="str">
        <f t="shared" si="1"/>
        <v>Marsha KendrickQ1: June 2024 - August 20243RD3.B</v>
      </c>
      <c r="C195" s="11" t="s">
        <v>412</v>
      </c>
      <c r="D195" s="11" t="s">
        <v>413</v>
      </c>
      <c r="E195" s="11" t="s">
        <v>21</v>
      </c>
      <c r="F195" s="11" t="s">
        <v>414</v>
      </c>
      <c r="G195" s="11" t="s">
        <v>417</v>
      </c>
      <c r="H195" s="12"/>
      <c r="I195" s="11" t="s">
        <v>149</v>
      </c>
      <c r="J195" s="11" t="s">
        <v>24</v>
      </c>
      <c r="K195" s="13">
        <v>100.0</v>
      </c>
      <c r="L195" s="14"/>
      <c r="M195" s="14"/>
      <c r="N195" s="14"/>
      <c r="O195" s="14"/>
      <c r="P195" s="14"/>
      <c r="Q195" s="15">
        <f t="shared" si="26"/>
        <v>1</v>
      </c>
      <c r="R195" s="11" t="s">
        <v>418</v>
      </c>
      <c r="S195" s="9"/>
      <c r="T195" s="9"/>
      <c r="U195" s="9"/>
      <c r="V195" s="9"/>
      <c r="W195" s="9"/>
      <c r="X195" s="9"/>
      <c r="Y195" s="9"/>
    </row>
    <row r="196" hidden="1">
      <c r="A196" s="10">
        <v>45523.37220266204</v>
      </c>
      <c r="B196" s="10" t="str">
        <f t="shared" si="1"/>
        <v>Marsha KendrickQ1: June 2024 - August 20244TH2.C</v>
      </c>
      <c r="C196" s="11" t="s">
        <v>412</v>
      </c>
      <c r="D196" s="11" t="s">
        <v>413</v>
      </c>
      <c r="E196" s="11" t="s">
        <v>21</v>
      </c>
      <c r="F196" s="11" t="s">
        <v>414</v>
      </c>
      <c r="G196" s="11" t="s">
        <v>419</v>
      </c>
      <c r="H196" s="12"/>
      <c r="I196" s="11" t="s">
        <v>27</v>
      </c>
      <c r="J196" s="11" t="s">
        <v>59</v>
      </c>
      <c r="K196" s="13">
        <v>90.0</v>
      </c>
      <c r="L196" s="14"/>
      <c r="M196" s="14"/>
      <c r="N196" s="14"/>
      <c r="O196" s="14"/>
      <c r="P196" s="14"/>
      <c r="Q196" s="15">
        <f t="shared" si="26"/>
        <v>0.9</v>
      </c>
      <c r="R196" s="11" t="s">
        <v>420</v>
      </c>
      <c r="S196" s="9"/>
      <c r="T196" s="9"/>
      <c r="U196" s="9"/>
      <c r="V196" s="9"/>
      <c r="W196" s="9"/>
      <c r="X196" s="9"/>
      <c r="Y196" s="9"/>
    </row>
    <row r="197" hidden="1">
      <c r="A197" s="10">
        <v>45523.3763875463</v>
      </c>
      <c r="B197" s="10" t="str">
        <f t="shared" si="1"/>
        <v>Marsha KendrickQ1: June 2024 - August 20241ST2.C</v>
      </c>
      <c r="C197" s="11" t="s">
        <v>412</v>
      </c>
      <c r="D197" s="11" t="s">
        <v>413</v>
      </c>
      <c r="E197" s="11" t="s">
        <v>21</v>
      </c>
      <c r="F197" s="11" t="s">
        <v>414</v>
      </c>
      <c r="G197" s="9"/>
      <c r="H197" s="12"/>
      <c r="I197" s="11" t="s">
        <v>27</v>
      </c>
      <c r="J197" s="11" t="s">
        <v>32</v>
      </c>
      <c r="K197" s="13">
        <v>80.0</v>
      </c>
      <c r="L197" s="13">
        <v>80.0</v>
      </c>
      <c r="M197" s="14"/>
      <c r="N197" s="14"/>
      <c r="O197" s="14"/>
      <c r="P197" s="14"/>
      <c r="Q197" s="15">
        <f t="shared" si="26"/>
        <v>0.8</v>
      </c>
      <c r="R197" s="11" t="s">
        <v>421</v>
      </c>
      <c r="S197" s="9"/>
      <c r="T197" s="9"/>
      <c r="U197" s="9"/>
      <c r="V197" s="9"/>
      <c r="W197" s="9"/>
      <c r="X197" s="9"/>
      <c r="Y197" s="9"/>
    </row>
    <row r="198" hidden="1">
      <c r="A198" s="10">
        <v>45604.660101817135</v>
      </c>
      <c r="B198" s="10" t="str">
        <f t="shared" si="1"/>
        <v>Marsha KendrickQ2: September 2024 - November 20241ST2.C</v>
      </c>
      <c r="C198" s="11" t="s">
        <v>412</v>
      </c>
      <c r="D198" s="11" t="s">
        <v>413</v>
      </c>
      <c r="E198" s="11" t="s">
        <v>34</v>
      </c>
      <c r="F198" s="11" t="s">
        <v>414</v>
      </c>
      <c r="G198" s="9"/>
      <c r="H198" s="12"/>
      <c r="I198" s="11" t="s">
        <v>27</v>
      </c>
      <c r="J198" s="11" t="s">
        <v>32</v>
      </c>
      <c r="K198" s="13">
        <v>100.0</v>
      </c>
      <c r="L198" s="14"/>
      <c r="M198" s="14"/>
      <c r="N198" s="14"/>
      <c r="O198" s="14"/>
      <c r="P198" s="14"/>
      <c r="Q198" s="15">
        <f t="shared" si="26"/>
        <v>1</v>
      </c>
      <c r="R198" s="11" t="s">
        <v>422</v>
      </c>
      <c r="S198" s="9"/>
      <c r="T198" s="9"/>
      <c r="U198" s="9"/>
      <c r="V198" s="9"/>
      <c r="W198" s="9"/>
      <c r="X198" s="9"/>
      <c r="Y198" s="9"/>
    </row>
    <row r="199" hidden="1">
      <c r="A199" s="10">
        <v>45702.38166900463</v>
      </c>
      <c r="B199" s="10" t="str">
        <f t="shared" si="1"/>
        <v>Marsha KendrickQ3: December 2024 - February 20252ND3.C</v>
      </c>
      <c r="C199" s="11" t="s">
        <v>412</v>
      </c>
      <c r="D199" s="11" t="s">
        <v>413</v>
      </c>
      <c r="E199" s="11" t="s">
        <v>40</v>
      </c>
      <c r="F199" s="11" t="s">
        <v>414</v>
      </c>
      <c r="G199" s="9"/>
      <c r="H199" s="12"/>
      <c r="I199" s="11" t="s">
        <v>61</v>
      </c>
      <c r="J199" s="11" t="s">
        <v>28</v>
      </c>
      <c r="K199" s="13">
        <v>100.0</v>
      </c>
      <c r="L199" s="14"/>
      <c r="M199" s="14"/>
      <c r="N199" s="14"/>
      <c r="O199" s="14"/>
      <c r="P199" s="14"/>
      <c r="Q199" s="15">
        <f t="shared" si="26"/>
        <v>1</v>
      </c>
      <c r="R199" s="11" t="s">
        <v>423</v>
      </c>
      <c r="S199" s="9"/>
      <c r="T199" s="9"/>
      <c r="U199" s="9"/>
      <c r="V199" s="9"/>
      <c r="W199" s="9"/>
      <c r="X199" s="9"/>
      <c r="Y199" s="9"/>
    </row>
    <row r="200" hidden="1">
      <c r="A200" s="10">
        <v>45716.36283706018</v>
      </c>
      <c r="B200" s="10" t="str">
        <f t="shared" si="1"/>
        <v>Marsha KendrickQ3: December 2024 - February 20251ST2.A</v>
      </c>
      <c r="C200" s="11" t="s">
        <v>412</v>
      </c>
      <c r="D200" s="11" t="s">
        <v>413</v>
      </c>
      <c r="E200" s="11" t="s">
        <v>40</v>
      </c>
      <c r="F200" s="11" t="s">
        <v>414</v>
      </c>
      <c r="G200" s="9"/>
      <c r="H200" s="12"/>
      <c r="I200" s="11" t="s">
        <v>36</v>
      </c>
      <c r="J200" s="11" t="s">
        <v>32</v>
      </c>
      <c r="K200" s="13">
        <v>100.0</v>
      </c>
      <c r="L200" s="14"/>
      <c r="M200" s="14"/>
      <c r="N200" s="14"/>
      <c r="O200" s="14"/>
      <c r="P200" s="14"/>
      <c r="Q200" s="15">
        <f t="shared" si="26"/>
        <v>1</v>
      </c>
      <c r="R200" s="11" t="s">
        <v>424</v>
      </c>
      <c r="S200" s="9"/>
      <c r="T200" s="9"/>
      <c r="U200" s="9"/>
      <c r="V200" s="9"/>
      <c r="W200" s="9"/>
      <c r="X200" s="9"/>
      <c r="Y200" s="9"/>
    </row>
    <row r="201" hidden="1">
      <c r="A201" s="10">
        <v>45793.45582166666</v>
      </c>
      <c r="B201" s="10" t="str">
        <f t="shared" si="1"/>
        <v>Marsha KendrickQ4: March 2025 - May 20251ST2.C</v>
      </c>
      <c r="C201" s="11" t="s">
        <v>412</v>
      </c>
      <c r="D201" s="11" t="s">
        <v>413</v>
      </c>
      <c r="E201" s="11" t="s">
        <v>45</v>
      </c>
      <c r="F201" s="11" t="s">
        <v>414</v>
      </c>
      <c r="G201" s="9"/>
      <c r="H201" s="12"/>
      <c r="I201" s="11" t="s">
        <v>27</v>
      </c>
      <c r="J201" s="11" t="s">
        <v>32</v>
      </c>
      <c r="K201" s="11">
        <v>96.0</v>
      </c>
      <c r="L201" s="9"/>
      <c r="M201" s="9"/>
      <c r="N201" s="9"/>
      <c r="O201" s="9"/>
      <c r="P201" s="9"/>
      <c r="Q201" s="11">
        <v>96.0</v>
      </c>
      <c r="R201" s="11" t="s">
        <v>425</v>
      </c>
      <c r="S201" s="9"/>
      <c r="T201" s="9"/>
      <c r="U201" s="9"/>
      <c r="V201" s="9"/>
      <c r="W201" s="9"/>
      <c r="X201" s="9"/>
      <c r="Y201" s="9"/>
    </row>
    <row r="202" hidden="1">
      <c r="A202" s="10">
        <v>45523.66055905093</v>
      </c>
      <c r="B202" s="10" t="str">
        <f t="shared" si="1"/>
        <v>Michael FooteQ1: June 2024 - August 20241ST2.B,2.C</v>
      </c>
      <c r="C202" s="11" t="s">
        <v>426</v>
      </c>
      <c r="D202" s="11" t="s">
        <v>427</v>
      </c>
      <c r="E202" s="11" t="s">
        <v>21</v>
      </c>
      <c r="F202" s="11" t="s">
        <v>428</v>
      </c>
      <c r="G202" s="9"/>
      <c r="H202" s="12"/>
      <c r="I202" s="11" t="s">
        <v>429</v>
      </c>
      <c r="J202" s="11" t="s">
        <v>32</v>
      </c>
      <c r="K202" s="13">
        <v>65.0</v>
      </c>
      <c r="L202" s="14"/>
      <c r="M202" s="14"/>
      <c r="N202" s="14"/>
      <c r="O202" s="14"/>
      <c r="P202" s="14"/>
      <c r="Q202" s="15">
        <f t="shared" ref="Q202:Q204" si="27">AVERAGE(K202:P202)/100</f>
        <v>0.65</v>
      </c>
      <c r="R202" s="11" t="s">
        <v>430</v>
      </c>
      <c r="S202" s="9"/>
      <c r="T202" s="9"/>
      <c r="U202" s="9"/>
      <c r="V202" s="9"/>
      <c r="W202" s="9"/>
      <c r="X202" s="9"/>
      <c r="Y202" s="9"/>
    </row>
    <row r="203" hidden="1">
      <c r="A203" s="10">
        <v>45618.65676070601</v>
      </c>
      <c r="B203" s="10" t="str">
        <f t="shared" si="1"/>
        <v>Michael FooteQ2: September 2024 - November 20241ST1.A</v>
      </c>
      <c r="C203" s="11" t="s">
        <v>426</v>
      </c>
      <c r="D203" s="11" t="s">
        <v>427</v>
      </c>
      <c r="E203" s="11" t="s">
        <v>34</v>
      </c>
      <c r="F203" s="11" t="s">
        <v>428</v>
      </c>
      <c r="G203" s="9"/>
      <c r="H203" s="12"/>
      <c r="I203" s="11" t="s">
        <v>56</v>
      </c>
      <c r="J203" s="11" t="s">
        <v>32</v>
      </c>
      <c r="K203" s="13">
        <v>92.0</v>
      </c>
      <c r="L203" s="14"/>
      <c r="M203" s="14"/>
      <c r="N203" s="14"/>
      <c r="O203" s="14"/>
      <c r="P203" s="14"/>
      <c r="Q203" s="15">
        <f t="shared" si="27"/>
        <v>0.92</v>
      </c>
      <c r="R203" s="11" t="s">
        <v>431</v>
      </c>
      <c r="S203" s="9"/>
      <c r="T203" s="9"/>
      <c r="U203" s="9"/>
      <c r="V203" s="9"/>
      <c r="W203" s="9"/>
      <c r="X203" s="9"/>
      <c r="Y203" s="9"/>
    </row>
    <row r="204" hidden="1">
      <c r="A204" s="10">
        <v>45705.64330422453</v>
      </c>
      <c r="B204" s="10" t="str">
        <f t="shared" si="1"/>
        <v>Michael FooteQ3: December 2024 - February 20252ND2.C</v>
      </c>
      <c r="C204" s="11" t="s">
        <v>426</v>
      </c>
      <c r="D204" s="11" t="s">
        <v>427</v>
      </c>
      <c r="E204" s="11" t="s">
        <v>40</v>
      </c>
      <c r="F204" s="11" t="s">
        <v>428</v>
      </c>
      <c r="G204" s="9"/>
      <c r="H204" s="12"/>
      <c r="I204" s="11" t="s">
        <v>27</v>
      </c>
      <c r="J204" s="11" t="s">
        <v>28</v>
      </c>
      <c r="K204" s="13">
        <v>30.0</v>
      </c>
      <c r="L204" s="13">
        <v>40.0</v>
      </c>
      <c r="M204" s="13">
        <v>80.0</v>
      </c>
      <c r="N204" s="14"/>
      <c r="O204" s="14"/>
      <c r="P204" s="14"/>
      <c r="Q204" s="15">
        <f t="shared" si="27"/>
        <v>0.5</v>
      </c>
      <c r="R204" s="11" t="s">
        <v>432</v>
      </c>
      <c r="S204" s="9"/>
      <c r="T204" s="9"/>
      <c r="U204" s="9"/>
      <c r="V204" s="9"/>
      <c r="W204" s="9"/>
      <c r="X204" s="9"/>
      <c r="Y204" s="9"/>
    </row>
    <row r="205" hidden="1">
      <c r="A205" s="10">
        <v>45797.44163366898</v>
      </c>
      <c r="B205" s="10" t="str">
        <f t="shared" si="1"/>
        <v>MIchael FooteQ4: March 2025 - May 20251ST2.D</v>
      </c>
      <c r="C205" s="11" t="s">
        <v>426</v>
      </c>
      <c r="D205" s="11" t="s">
        <v>433</v>
      </c>
      <c r="E205" s="11" t="s">
        <v>45</v>
      </c>
      <c r="F205" s="11" t="s">
        <v>428</v>
      </c>
      <c r="G205" s="9"/>
      <c r="H205" s="12"/>
      <c r="I205" s="11" t="s">
        <v>31</v>
      </c>
      <c r="J205" s="11" t="s">
        <v>32</v>
      </c>
      <c r="K205" s="11">
        <v>80.0</v>
      </c>
      <c r="L205" s="11">
        <v>100.0</v>
      </c>
      <c r="M205" s="9"/>
      <c r="N205" s="9"/>
      <c r="O205" s="9"/>
      <c r="P205" s="9"/>
      <c r="Q205" s="11">
        <v>90.0</v>
      </c>
      <c r="R205" s="11" t="s">
        <v>434</v>
      </c>
      <c r="S205" s="9"/>
      <c r="T205" s="9"/>
      <c r="U205" s="9"/>
      <c r="V205" s="9"/>
      <c r="W205" s="9"/>
      <c r="X205" s="9"/>
      <c r="Y205" s="9"/>
    </row>
    <row r="206" hidden="1">
      <c r="A206" s="10">
        <v>45517.642820671295</v>
      </c>
      <c r="B206" s="10" t="str">
        <f t="shared" si="1"/>
        <v>Michelle StrainQ1: June 2024 - August 20241ST1.B</v>
      </c>
      <c r="C206" s="11" t="s">
        <v>435</v>
      </c>
      <c r="D206" s="11" t="s">
        <v>436</v>
      </c>
      <c r="E206" s="11" t="s">
        <v>21</v>
      </c>
      <c r="F206" s="11" t="s">
        <v>89</v>
      </c>
      <c r="G206" s="11" t="s">
        <v>437</v>
      </c>
      <c r="H206" s="12"/>
      <c r="I206" s="11" t="s">
        <v>318</v>
      </c>
      <c r="J206" s="11" t="s">
        <v>32</v>
      </c>
      <c r="K206" s="13">
        <v>100.0</v>
      </c>
      <c r="L206" s="13">
        <v>100.0</v>
      </c>
      <c r="M206" s="14"/>
      <c r="N206" s="14"/>
      <c r="O206" s="14"/>
      <c r="P206" s="14"/>
      <c r="Q206" s="15">
        <f t="shared" ref="Q206:Q211" si="28">AVERAGE(K206:P206)/100</f>
        <v>1</v>
      </c>
      <c r="R206" s="11" t="s">
        <v>438</v>
      </c>
      <c r="S206" s="9"/>
      <c r="T206" s="9"/>
      <c r="U206" s="9"/>
      <c r="V206" s="9"/>
      <c r="W206" s="9"/>
      <c r="X206" s="9"/>
      <c r="Y206" s="9"/>
    </row>
    <row r="207" hidden="1">
      <c r="A207" s="10">
        <v>45517.64721131945</v>
      </c>
      <c r="B207" s="10" t="str">
        <f t="shared" si="1"/>
        <v>Michelle StrainQ1: June 2024 - August 20242ND2.D</v>
      </c>
      <c r="C207" s="11" t="s">
        <v>435</v>
      </c>
      <c r="D207" s="11" t="s">
        <v>436</v>
      </c>
      <c r="E207" s="11" t="s">
        <v>21</v>
      </c>
      <c r="F207" s="11" t="s">
        <v>89</v>
      </c>
      <c r="G207" s="11" t="s">
        <v>437</v>
      </c>
      <c r="H207" s="12"/>
      <c r="I207" s="11" t="s">
        <v>31</v>
      </c>
      <c r="J207" s="11" t="s">
        <v>28</v>
      </c>
      <c r="K207" s="13">
        <v>100.0</v>
      </c>
      <c r="L207" s="14"/>
      <c r="M207" s="14"/>
      <c r="N207" s="14"/>
      <c r="O207" s="14"/>
      <c r="P207" s="14"/>
      <c r="Q207" s="15">
        <f t="shared" si="28"/>
        <v>1</v>
      </c>
      <c r="R207" s="11" t="s">
        <v>439</v>
      </c>
      <c r="S207" s="9"/>
      <c r="T207" s="9"/>
      <c r="U207" s="9"/>
      <c r="V207" s="9"/>
      <c r="W207" s="9"/>
      <c r="X207" s="9"/>
      <c r="Y207" s="9"/>
    </row>
    <row r="208" hidden="1">
      <c r="A208" s="10">
        <v>45607.47654978009</v>
      </c>
      <c r="B208" s="10" t="str">
        <f t="shared" si="1"/>
        <v>Michelle StrainQ2: September 2024 - November 20241ST1.B</v>
      </c>
      <c r="C208" s="11" t="s">
        <v>435</v>
      </c>
      <c r="D208" s="11" t="s">
        <v>436</v>
      </c>
      <c r="E208" s="11" t="s">
        <v>34</v>
      </c>
      <c r="F208" s="11" t="s">
        <v>89</v>
      </c>
      <c r="G208" s="11" t="s">
        <v>437</v>
      </c>
      <c r="H208" s="12"/>
      <c r="I208" s="11" t="s">
        <v>318</v>
      </c>
      <c r="J208" s="11" t="s">
        <v>32</v>
      </c>
      <c r="K208" s="13">
        <v>100.0</v>
      </c>
      <c r="L208" s="13">
        <v>85.0</v>
      </c>
      <c r="M208" s="14"/>
      <c r="N208" s="14"/>
      <c r="O208" s="14"/>
      <c r="P208" s="14"/>
      <c r="Q208" s="15">
        <f t="shared" si="28"/>
        <v>0.925</v>
      </c>
      <c r="R208" s="11" t="s">
        <v>440</v>
      </c>
      <c r="S208" s="9"/>
      <c r="T208" s="9"/>
      <c r="U208" s="9"/>
      <c r="V208" s="9"/>
      <c r="W208" s="9"/>
      <c r="X208" s="9"/>
      <c r="Y208" s="9"/>
    </row>
    <row r="209" hidden="1">
      <c r="A209" s="10">
        <v>45607.47976563657</v>
      </c>
      <c r="B209" s="10" t="str">
        <f t="shared" si="1"/>
        <v>Michelle StrainQ2: September 2024 - November 20242ND2.D</v>
      </c>
      <c r="C209" s="11" t="s">
        <v>435</v>
      </c>
      <c r="D209" s="11" t="s">
        <v>436</v>
      </c>
      <c r="E209" s="11" t="s">
        <v>34</v>
      </c>
      <c r="F209" s="11" t="s">
        <v>89</v>
      </c>
      <c r="G209" s="11" t="s">
        <v>437</v>
      </c>
      <c r="H209" s="12"/>
      <c r="I209" s="11" t="s">
        <v>31</v>
      </c>
      <c r="J209" s="11" t="s">
        <v>28</v>
      </c>
      <c r="K209" s="13">
        <v>70.0</v>
      </c>
      <c r="L209" s="13">
        <v>100.0</v>
      </c>
      <c r="M209" s="14"/>
      <c r="N209" s="14"/>
      <c r="O209" s="14"/>
      <c r="P209" s="14"/>
      <c r="Q209" s="15">
        <f t="shared" si="28"/>
        <v>0.85</v>
      </c>
      <c r="R209" s="11" t="s">
        <v>441</v>
      </c>
      <c r="S209" s="9"/>
      <c r="T209" s="9"/>
      <c r="U209" s="9"/>
      <c r="V209" s="9"/>
      <c r="W209" s="9"/>
      <c r="X209" s="9"/>
      <c r="Y209" s="9"/>
    </row>
    <row r="210" hidden="1">
      <c r="A210" s="10">
        <v>45701.706529375</v>
      </c>
      <c r="B210" s="10" t="str">
        <f t="shared" si="1"/>
        <v>Michelle StrainQ3: December 2024 - February 20251ST1.B</v>
      </c>
      <c r="C210" s="11" t="s">
        <v>435</v>
      </c>
      <c r="D210" s="11" t="s">
        <v>436</v>
      </c>
      <c r="E210" s="11" t="s">
        <v>40</v>
      </c>
      <c r="F210" s="11" t="s">
        <v>89</v>
      </c>
      <c r="G210" s="11" t="s">
        <v>442</v>
      </c>
      <c r="H210" s="12"/>
      <c r="I210" s="19" t="s">
        <v>318</v>
      </c>
      <c r="J210" s="11" t="s">
        <v>32</v>
      </c>
      <c r="K210" s="13">
        <v>85.0</v>
      </c>
      <c r="L210" s="13">
        <v>100.0</v>
      </c>
      <c r="M210" s="13">
        <v>50.0</v>
      </c>
      <c r="N210" s="14"/>
      <c r="O210" s="14"/>
      <c r="P210" s="14"/>
      <c r="Q210" s="15">
        <f t="shared" si="28"/>
        <v>0.7833333333</v>
      </c>
      <c r="R210" s="11" t="s">
        <v>443</v>
      </c>
      <c r="S210" s="9"/>
      <c r="T210" s="9"/>
      <c r="U210" s="9"/>
      <c r="V210" s="9"/>
      <c r="W210" s="9"/>
      <c r="X210" s="9"/>
      <c r="Y210" s="9"/>
    </row>
    <row r="211" hidden="1">
      <c r="A211" s="10">
        <v>45701.70840059027</v>
      </c>
      <c r="B211" s="10" t="str">
        <f t="shared" si="1"/>
        <v>Michelle StrainQ3: December 2024 - February 20252ND2.D</v>
      </c>
      <c r="C211" s="11" t="s">
        <v>435</v>
      </c>
      <c r="D211" s="11" t="s">
        <v>436</v>
      </c>
      <c r="E211" s="11" t="s">
        <v>40</v>
      </c>
      <c r="F211" s="11" t="s">
        <v>89</v>
      </c>
      <c r="G211" s="11" t="s">
        <v>442</v>
      </c>
      <c r="H211" s="12"/>
      <c r="I211" s="19" t="s">
        <v>31</v>
      </c>
      <c r="J211" s="11" t="s">
        <v>28</v>
      </c>
      <c r="K211" s="13">
        <v>50.0</v>
      </c>
      <c r="L211" s="13">
        <v>100.0</v>
      </c>
      <c r="M211" s="14"/>
      <c r="N211" s="14"/>
      <c r="O211" s="14"/>
      <c r="P211" s="14"/>
      <c r="Q211" s="15">
        <f t="shared" si="28"/>
        <v>0.75</v>
      </c>
      <c r="R211" s="11" t="s">
        <v>444</v>
      </c>
      <c r="S211" s="9"/>
      <c r="T211" s="9"/>
      <c r="U211" s="9"/>
      <c r="V211" s="9"/>
      <c r="W211" s="9"/>
      <c r="X211" s="9"/>
      <c r="Y211" s="9"/>
    </row>
    <row r="212" hidden="1">
      <c r="A212" s="10">
        <v>45791.639826909726</v>
      </c>
      <c r="B212" s="10" t="str">
        <f t="shared" si="1"/>
        <v>Michelle StrainQ4: March 2025 - May 20251ST1.B</v>
      </c>
      <c r="C212" s="11" t="s">
        <v>435</v>
      </c>
      <c r="D212" s="11" t="s">
        <v>436</v>
      </c>
      <c r="E212" s="11" t="s">
        <v>45</v>
      </c>
      <c r="F212" s="11" t="s">
        <v>89</v>
      </c>
      <c r="G212" s="11" t="s">
        <v>437</v>
      </c>
      <c r="H212" s="12"/>
      <c r="I212" s="25" t="s">
        <v>318</v>
      </c>
      <c r="J212" s="11" t="s">
        <v>32</v>
      </c>
      <c r="K212" s="11">
        <v>100.0</v>
      </c>
      <c r="L212" s="11">
        <v>100.0</v>
      </c>
      <c r="M212" s="9"/>
      <c r="N212" s="9"/>
      <c r="O212" s="9"/>
      <c r="P212" s="9"/>
      <c r="Q212" s="11">
        <v>100.0</v>
      </c>
      <c r="R212" s="11" t="s">
        <v>445</v>
      </c>
      <c r="S212" s="9"/>
      <c r="T212" s="9"/>
      <c r="U212" s="9"/>
      <c r="V212" s="9"/>
      <c r="W212" s="9"/>
      <c r="X212" s="9"/>
      <c r="Y212" s="9"/>
    </row>
    <row r="213" hidden="1">
      <c r="A213" s="10">
        <v>45791.64127771991</v>
      </c>
      <c r="B213" s="10" t="str">
        <f t="shared" si="1"/>
        <v>Michelle StrainQ4: March 2025 - May 20252ND1.C</v>
      </c>
      <c r="C213" s="11" t="s">
        <v>435</v>
      </c>
      <c r="D213" s="11" t="s">
        <v>436</v>
      </c>
      <c r="E213" s="11" t="s">
        <v>45</v>
      </c>
      <c r="F213" s="11" t="s">
        <v>89</v>
      </c>
      <c r="G213" s="11" t="s">
        <v>437</v>
      </c>
      <c r="H213" s="12"/>
      <c r="I213" s="25" t="s">
        <v>42</v>
      </c>
      <c r="J213" s="11" t="s">
        <v>28</v>
      </c>
      <c r="K213" s="11">
        <v>100.0</v>
      </c>
      <c r="L213" s="11">
        <v>80.0</v>
      </c>
      <c r="M213" s="9"/>
      <c r="N213" s="9"/>
      <c r="O213" s="9"/>
      <c r="P213" s="9"/>
      <c r="Q213" s="11">
        <v>90.0</v>
      </c>
      <c r="R213" s="11" t="s">
        <v>446</v>
      </c>
      <c r="S213" s="9"/>
      <c r="T213" s="9"/>
      <c r="U213" s="9"/>
      <c r="V213" s="9"/>
      <c r="W213" s="9"/>
      <c r="X213" s="9"/>
      <c r="Y213" s="9"/>
    </row>
    <row r="214" hidden="1">
      <c r="A214" s="10">
        <v>45791.642537962965</v>
      </c>
      <c r="B214" s="10" t="str">
        <f t="shared" si="1"/>
        <v>Michelle StrainQ4: March 2025 - May 20253RD3.B</v>
      </c>
      <c r="C214" s="11" t="s">
        <v>435</v>
      </c>
      <c r="D214" s="11" t="s">
        <v>436</v>
      </c>
      <c r="E214" s="11" t="s">
        <v>45</v>
      </c>
      <c r="F214" s="11" t="s">
        <v>89</v>
      </c>
      <c r="G214" s="11" t="s">
        <v>437</v>
      </c>
      <c r="H214" s="12"/>
      <c r="I214" s="11" t="s">
        <v>149</v>
      </c>
      <c r="J214" s="11" t="s">
        <v>24</v>
      </c>
      <c r="K214" s="11">
        <v>100.0</v>
      </c>
      <c r="L214" s="11">
        <v>50.0</v>
      </c>
      <c r="M214" s="9"/>
      <c r="N214" s="9"/>
      <c r="O214" s="9"/>
      <c r="P214" s="9"/>
      <c r="Q214" s="11">
        <v>75.0</v>
      </c>
      <c r="R214" s="11" t="s">
        <v>447</v>
      </c>
      <c r="S214" s="9"/>
      <c r="T214" s="9"/>
      <c r="U214" s="9"/>
      <c r="V214" s="9"/>
      <c r="W214" s="9"/>
      <c r="X214" s="9"/>
      <c r="Y214" s="9"/>
    </row>
    <row r="215" hidden="1">
      <c r="A215" s="10">
        <v>45524.41679328703</v>
      </c>
      <c r="B215" s="10" t="str">
        <f t="shared" si="1"/>
        <v>Morgan ThompsonQ1: June 2024 - August 20243RD1.A</v>
      </c>
      <c r="C215" s="11" t="s">
        <v>448</v>
      </c>
      <c r="D215" s="11" t="s">
        <v>449</v>
      </c>
      <c r="E215" s="11" t="s">
        <v>21</v>
      </c>
      <c r="F215" s="11" t="s">
        <v>170</v>
      </c>
      <c r="G215" s="9"/>
      <c r="H215" s="12"/>
      <c r="I215" s="11" t="s">
        <v>56</v>
      </c>
      <c r="J215" s="11" t="s">
        <v>24</v>
      </c>
      <c r="K215" s="13">
        <v>100.0</v>
      </c>
      <c r="L215" s="13">
        <v>80.0</v>
      </c>
      <c r="M215" s="14"/>
      <c r="N215" s="14"/>
      <c r="O215" s="14"/>
      <c r="P215" s="14"/>
      <c r="Q215" s="15">
        <f t="shared" ref="Q215:Q218" si="29">AVERAGE(K215:P215)/100</f>
        <v>0.9</v>
      </c>
      <c r="R215" s="11" t="s">
        <v>450</v>
      </c>
      <c r="S215" s="9"/>
      <c r="T215" s="9"/>
      <c r="U215" s="9"/>
      <c r="V215" s="9"/>
      <c r="W215" s="9"/>
      <c r="X215" s="9"/>
      <c r="Y215" s="9"/>
    </row>
    <row r="216" hidden="1">
      <c r="A216" s="10">
        <v>45614.597754456016</v>
      </c>
      <c r="B216" s="10" t="str">
        <f t="shared" si="1"/>
        <v>Morgan ThompsonQ2: September 2024 - November 20242ND2.B</v>
      </c>
      <c r="C216" s="11" t="s">
        <v>448</v>
      </c>
      <c r="D216" s="11" t="s">
        <v>449</v>
      </c>
      <c r="E216" s="11" t="s">
        <v>34</v>
      </c>
      <c r="F216" s="11" t="s">
        <v>170</v>
      </c>
      <c r="G216" s="9"/>
      <c r="H216" s="12"/>
      <c r="I216" s="11" t="s">
        <v>83</v>
      </c>
      <c r="J216" s="11" t="s">
        <v>28</v>
      </c>
      <c r="K216" s="13">
        <v>65.0</v>
      </c>
      <c r="L216" s="13">
        <v>10.0</v>
      </c>
      <c r="M216" s="14"/>
      <c r="N216" s="14"/>
      <c r="O216" s="14"/>
      <c r="P216" s="14"/>
      <c r="Q216" s="15">
        <f t="shared" si="29"/>
        <v>0.375</v>
      </c>
      <c r="R216" s="11" t="s">
        <v>451</v>
      </c>
      <c r="S216" s="9"/>
      <c r="T216" s="9"/>
      <c r="U216" s="9"/>
      <c r="V216" s="9"/>
      <c r="W216" s="9"/>
      <c r="X216" s="9"/>
      <c r="Y216" s="9"/>
    </row>
    <row r="217" hidden="1">
      <c r="A217" s="10">
        <v>45614.59828443287</v>
      </c>
      <c r="B217" s="10" t="str">
        <f t="shared" si="1"/>
        <v>Morgan ThompsonQ2: September 2024 - November 20243RD3.C</v>
      </c>
      <c r="C217" s="11" t="s">
        <v>448</v>
      </c>
      <c r="D217" s="11" t="s">
        <v>449</v>
      </c>
      <c r="E217" s="11" t="s">
        <v>34</v>
      </c>
      <c r="F217" s="11" t="s">
        <v>170</v>
      </c>
      <c r="G217" s="9"/>
      <c r="H217" s="12"/>
      <c r="I217" s="11" t="s">
        <v>61</v>
      </c>
      <c r="J217" s="11" t="s">
        <v>24</v>
      </c>
      <c r="K217" s="13">
        <v>100.0</v>
      </c>
      <c r="L217" s="13">
        <v>100.0</v>
      </c>
      <c r="M217" s="14"/>
      <c r="N217" s="14"/>
      <c r="O217" s="14"/>
      <c r="P217" s="14"/>
      <c r="Q217" s="15">
        <f t="shared" si="29"/>
        <v>1</v>
      </c>
      <c r="R217" s="11" t="s">
        <v>452</v>
      </c>
      <c r="S217" s="9"/>
      <c r="T217" s="9"/>
      <c r="U217" s="9"/>
      <c r="V217" s="9"/>
      <c r="W217" s="9"/>
      <c r="X217" s="9"/>
      <c r="Y217" s="9"/>
    </row>
    <row r="218" hidden="1">
      <c r="A218" s="10">
        <v>45708.62174310185</v>
      </c>
      <c r="B218" s="10" t="str">
        <f t="shared" si="1"/>
        <v>Morgan ThompsonQ3: December 2024 - February 20252ND2.B</v>
      </c>
      <c r="C218" s="11" t="s">
        <v>448</v>
      </c>
      <c r="D218" s="11" t="s">
        <v>449</v>
      </c>
      <c r="E218" s="11" t="s">
        <v>40</v>
      </c>
      <c r="F218" s="11" t="s">
        <v>170</v>
      </c>
      <c r="G218" s="9"/>
      <c r="H218" s="12"/>
      <c r="I218" s="11" t="s">
        <v>83</v>
      </c>
      <c r="J218" s="11" t="s">
        <v>28</v>
      </c>
      <c r="K218" s="13">
        <v>80.0</v>
      </c>
      <c r="L218" s="13">
        <v>10.0</v>
      </c>
      <c r="M218" s="14"/>
      <c r="N218" s="14"/>
      <c r="O218" s="14"/>
      <c r="P218" s="14"/>
      <c r="Q218" s="15">
        <f t="shared" si="29"/>
        <v>0.45</v>
      </c>
      <c r="R218" s="11" t="s">
        <v>453</v>
      </c>
      <c r="S218" s="9"/>
      <c r="T218" s="9"/>
      <c r="U218" s="9"/>
      <c r="V218" s="9"/>
      <c r="W218" s="9"/>
      <c r="X218" s="9"/>
      <c r="Y218" s="9"/>
    </row>
    <row r="219" hidden="1">
      <c r="A219" s="10">
        <v>45796.54659201389</v>
      </c>
      <c r="B219" s="10" t="str">
        <f t="shared" si="1"/>
        <v>Morgan ThompsonQ4: March 2025 - May 20252ND3.C</v>
      </c>
      <c r="C219" s="11" t="s">
        <v>448</v>
      </c>
      <c r="D219" s="11" t="s">
        <v>449</v>
      </c>
      <c r="E219" s="11" t="s">
        <v>45</v>
      </c>
      <c r="F219" s="11" t="s">
        <v>170</v>
      </c>
      <c r="G219" s="9"/>
      <c r="H219" s="12"/>
      <c r="I219" s="11" t="s">
        <v>61</v>
      </c>
      <c r="J219" s="11" t="s">
        <v>28</v>
      </c>
      <c r="K219" s="11">
        <v>75.0</v>
      </c>
      <c r="L219" s="11">
        <v>50.0</v>
      </c>
      <c r="M219" s="9"/>
      <c r="N219" s="9"/>
      <c r="O219" s="9"/>
      <c r="P219" s="9"/>
      <c r="Q219" s="11">
        <v>63.0</v>
      </c>
      <c r="R219" s="11" t="s">
        <v>454</v>
      </c>
      <c r="S219" s="9"/>
      <c r="T219" s="9"/>
      <c r="U219" s="9"/>
      <c r="V219" s="9"/>
      <c r="W219" s="9"/>
      <c r="X219" s="9"/>
      <c r="Y219" s="9"/>
    </row>
    <row r="220" hidden="1">
      <c r="A220" s="10">
        <v>45796.5480784838</v>
      </c>
      <c r="B220" s="10" t="str">
        <f t="shared" si="1"/>
        <v>Morgan ThompsonQ4: March 2025 - May 20253RD2.C</v>
      </c>
      <c r="C220" s="11" t="s">
        <v>448</v>
      </c>
      <c r="D220" s="11" t="s">
        <v>449</v>
      </c>
      <c r="E220" s="11" t="s">
        <v>45</v>
      </c>
      <c r="F220" s="11" t="s">
        <v>170</v>
      </c>
      <c r="G220" s="9"/>
      <c r="H220" s="12"/>
      <c r="I220" s="11" t="s">
        <v>27</v>
      </c>
      <c r="J220" s="11" t="s">
        <v>24</v>
      </c>
      <c r="K220" s="11">
        <v>20.0</v>
      </c>
      <c r="L220" s="11">
        <v>80.0</v>
      </c>
      <c r="M220" s="11">
        <v>67.0</v>
      </c>
      <c r="N220" s="9"/>
      <c r="O220" s="9"/>
      <c r="P220" s="9"/>
      <c r="Q220" s="11">
        <v>56.0</v>
      </c>
      <c r="R220" s="11" t="s">
        <v>455</v>
      </c>
      <c r="S220" s="9"/>
      <c r="T220" s="9"/>
      <c r="U220" s="9"/>
      <c r="V220" s="9"/>
      <c r="W220" s="9"/>
      <c r="X220" s="9"/>
      <c r="Y220" s="9"/>
    </row>
    <row r="221" hidden="1">
      <c r="A221" s="10">
        <v>45519.4039934375</v>
      </c>
      <c r="B221" s="10" t="str">
        <f t="shared" si="1"/>
        <v>Morgan ThompsonQ1: June 2024 - August 20241ST2.C</v>
      </c>
      <c r="C221" s="11" t="s">
        <v>448</v>
      </c>
      <c r="D221" s="11" t="s">
        <v>449</v>
      </c>
      <c r="E221" s="11" t="s">
        <v>21</v>
      </c>
      <c r="F221" s="11" t="s">
        <v>456</v>
      </c>
      <c r="G221" s="9"/>
      <c r="H221" s="12"/>
      <c r="I221" s="11" t="s">
        <v>27</v>
      </c>
      <c r="J221" s="11" t="s">
        <v>32</v>
      </c>
      <c r="K221" s="13">
        <v>90.0</v>
      </c>
      <c r="L221" s="13">
        <v>90.0</v>
      </c>
      <c r="M221" s="14"/>
      <c r="N221" s="14"/>
      <c r="O221" s="14"/>
      <c r="P221" s="14"/>
      <c r="Q221" s="15">
        <f t="shared" ref="Q221:Q224" si="30">AVERAGE(K221:P221)/100</f>
        <v>0.9</v>
      </c>
      <c r="R221" s="11" t="s">
        <v>457</v>
      </c>
      <c r="S221" s="9"/>
      <c r="T221" s="9"/>
      <c r="U221" s="9"/>
      <c r="V221" s="9"/>
      <c r="W221" s="9"/>
      <c r="X221" s="9"/>
      <c r="Y221" s="9"/>
    </row>
    <row r="222" hidden="1">
      <c r="A222" s="10">
        <v>45519.404624560186</v>
      </c>
      <c r="B222" s="10" t="str">
        <f t="shared" si="1"/>
        <v>Morgan ThompsonQ1: June 2024 - August 20242ND2.C</v>
      </c>
      <c r="C222" s="11" t="s">
        <v>448</v>
      </c>
      <c r="D222" s="11" t="s">
        <v>449</v>
      </c>
      <c r="E222" s="11" t="s">
        <v>21</v>
      </c>
      <c r="F222" s="11" t="s">
        <v>456</v>
      </c>
      <c r="G222" s="9"/>
      <c r="H222" s="12"/>
      <c r="I222" s="11" t="s">
        <v>27</v>
      </c>
      <c r="J222" s="11" t="s">
        <v>28</v>
      </c>
      <c r="K222" s="13">
        <v>90.0</v>
      </c>
      <c r="L222" s="13">
        <v>95.0</v>
      </c>
      <c r="M222" s="14"/>
      <c r="N222" s="14"/>
      <c r="O222" s="14"/>
      <c r="P222" s="14"/>
      <c r="Q222" s="15">
        <f t="shared" si="30"/>
        <v>0.925</v>
      </c>
      <c r="R222" s="11" t="s">
        <v>458</v>
      </c>
      <c r="S222" s="9"/>
      <c r="T222" s="9"/>
      <c r="U222" s="9"/>
      <c r="V222" s="9"/>
      <c r="W222" s="9"/>
      <c r="X222" s="9"/>
      <c r="Y222" s="9"/>
    </row>
    <row r="223" hidden="1">
      <c r="A223" s="10">
        <v>45614.596719548616</v>
      </c>
      <c r="B223" s="10" t="str">
        <f t="shared" si="1"/>
        <v>Morgan ThompsonQ2: September 2024 - November 20241ST2.C</v>
      </c>
      <c r="C223" s="11" t="s">
        <v>448</v>
      </c>
      <c r="D223" s="11" t="s">
        <v>449</v>
      </c>
      <c r="E223" s="11" t="s">
        <v>34</v>
      </c>
      <c r="F223" s="11" t="s">
        <v>456</v>
      </c>
      <c r="G223" s="9"/>
      <c r="H223" s="12"/>
      <c r="I223" s="11" t="s">
        <v>27</v>
      </c>
      <c r="J223" s="11" t="s">
        <v>32</v>
      </c>
      <c r="K223" s="13">
        <v>50.0</v>
      </c>
      <c r="L223" s="13">
        <v>85.0</v>
      </c>
      <c r="M223" s="13">
        <v>50.0</v>
      </c>
      <c r="N223" s="14"/>
      <c r="O223" s="14"/>
      <c r="P223" s="14"/>
      <c r="Q223" s="15">
        <f t="shared" si="30"/>
        <v>0.6166666667</v>
      </c>
      <c r="R223" s="11" t="s">
        <v>459</v>
      </c>
      <c r="S223" s="9"/>
      <c r="T223" s="9"/>
      <c r="U223" s="9"/>
      <c r="V223" s="9"/>
      <c r="W223" s="9"/>
      <c r="X223" s="9"/>
      <c r="Y223" s="9"/>
    </row>
    <row r="224" hidden="1">
      <c r="A224" s="10">
        <v>45708.6206659375</v>
      </c>
      <c r="B224" s="10" t="str">
        <f t="shared" si="1"/>
        <v>Morgan ThompsonQ3: December 2024 - February 20251ST2.C</v>
      </c>
      <c r="C224" s="11" t="s">
        <v>448</v>
      </c>
      <c r="D224" s="11" t="s">
        <v>449</v>
      </c>
      <c r="E224" s="11" t="s">
        <v>40</v>
      </c>
      <c r="F224" s="11" t="s">
        <v>456</v>
      </c>
      <c r="G224" s="9"/>
      <c r="H224" s="12"/>
      <c r="I224" s="11" t="s">
        <v>27</v>
      </c>
      <c r="J224" s="11" t="s">
        <v>32</v>
      </c>
      <c r="K224" s="13">
        <v>100.0</v>
      </c>
      <c r="L224" s="13">
        <v>100.0</v>
      </c>
      <c r="M224" s="13">
        <v>30.0</v>
      </c>
      <c r="N224" s="14"/>
      <c r="O224" s="14"/>
      <c r="P224" s="14"/>
      <c r="Q224" s="15">
        <f t="shared" si="30"/>
        <v>0.7666666667</v>
      </c>
      <c r="R224" s="11" t="s">
        <v>460</v>
      </c>
      <c r="S224" s="9"/>
      <c r="T224" s="9"/>
      <c r="U224" s="9"/>
      <c r="V224" s="9"/>
      <c r="W224" s="9"/>
      <c r="X224" s="9"/>
      <c r="Y224" s="9"/>
    </row>
    <row r="225" hidden="1">
      <c r="A225" s="10">
        <v>45796.54450903935</v>
      </c>
      <c r="B225" s="10" t="str">
        <f t="shared" si="1"/>
        <v>Morgan ThompsonQ4: March 2025 - May 20251ST2.C</v>
      </c>
      <c r="C225" s="11" t="s">
        <v>448</v>
      </c>
      <c r="D225" s="11" t="s">
        <v>449</v>
      </c>
      <c r="E225" s="11" t="s">
        <v>45</v>
      </c>
      <c r="F225" s="11" t="s">
        <v>456</v>
      </c>
      <c r="G225" s="9"/>
      <c r="H225" s="12"/>
      <c r="I225" s="11" t="s">
        <v>27</v>
      </c>
      <c r="J225" s="11" t="s">
        <v>32</v>
      </c>
      <c r="K225" s="11">
        <v>35.0</v>
      </c>
      <c r="L225" s="11">
        <v>100.0</v>
      </c>
      <c r="M225" s="11">
        <v>100.0</v>
      </c>
      <c r="N225" s="9"/>
      <c r="O225" s="9"/>
      <c r="P225" s="9"/>
      <c r="Q225" s="11">
        <v>78.0</v>
      </c>
      <c r="R225" s="11" t="s">
        <v>461</v>
      </c>
      <c r="S225" s="9"/>
      <c r="T225" s="9"/>
      <c r="U225" s="9"/>
      <c r="V225" s="9"/>
      <c r="W225" s="9"/>
      <c r="X225" s="9"/>
      <c r="Y225" s="9"/>
    </row>
    <row r="226" hidden="1">
      <c r="A226" s="10">
        <v>45708.62289388889</v>
      </c>
      <c r="B226" s="10" t="str">
        <f t="shared" si="1"/>
        <v>Morgan ThompsonQ3: December 2024 - February 20253RD2.C</v>
      </c>
      <c r="C226" s="11" t="s">
        <v>448</v>
      </c>
      <c r="D226" s="11" t="s">
        <v>449</v>
      </c>
      <c r="E226" s="11" t="s">
        <v>40</v>
      </c>
      <c r="F226" s="11" t="s">
        <v>462</v>
      </c>
      <c r="G226" s="9"/>
      <c r="H226" s="12"/>
      <c r="I226" s="11" t="s">
        <v>27</v>
      </c>
      <c r="J226" s="11" t="s">
        <v>24</v>
      </c>
      <c r="K226" s="13">
        <v>10.0</v>
      </c>
      <c r="L226" s="13">
        <v>10.0</v>
      </c>
      <c r="M226" s="14"/>
      <c r="N226" s="14"/>
      <c r="O226" s="14"/>
      <c r="P226" s="14"/>
      <c r="Q226" s="15">
        <f t="shared" ref="Q226:Q236" si="31">AVERAGE(K226:P226)/100</f>
        <v>0.1</v>
      </c>
      <c r="R226" s="11" t="s">
        <v>463</v>
      </c>
      <c r="S226" s="9"/>
      <c r="T226" s="9"/>
      <c r="U226" s="9"/>
      <c r="V226" s="9"/>
      <c r="W226" s="9"/>
      <c r="X226" s="9"/>
      <c r="Y226" s="9"/>
    </row>
    <row r="227" hidden="1">
      <c r="A227" s="10">
        <v>45518.41920611111</v>
      </c>
      <c r="B227" s="10" t="str">
        <f t="shared" si="1"/>
        <v>Phil GreenwaldQ1: June 2024 - August 20242ND1.C</v>
      </c>
      <c r="C227" s="11" t="s">
        <v>464</v>
      </c>
      <c r="D227" s="11" t="s">
        <v>465</v>
      </c>
      <c r="E227" s="11" t="s">
        <v>21</v>
      </c>
      <c r="F227" s="11" t="s">
        <v>466</v>
      </c>
      <c r="G227" s="9"/>
      <c r="H227" s="12"/>
      <c r="I227" s="11" t="s">
        <v>42</v>
      </c>
      <c r="J227" s="11" t="s">
        <v>28</v>
      </c>
      <c r="K227" s="13">
        <v>80.0</v>
      </c>
      <c r="L227" s="13">
        <v>75.0</v>
      </c>
      <c r="M227" s="14"/>
      <c r="N227" s="14"/>
      <c r="O227" s="14"/>
      <c r="P227" s="14"/>
      <c r="Q227" s="15">
        <f t="shared" si="31"/>
        <v>0.775</v>
      </c>
      <c r="R227" s="11" t="s">
        <v>467</v>
      </c>
      <c r="S227" s="9"/>
      <c r="T227" s="9"/>
      <c r="U227" s="9"/>
      <c r="V227" s="9"/>
      <c r="W227" s="9"/>
      <c r="X227" s="9"/>
      <c r="Y227" s="9"/>
    </row>
    <row r="228" hidden="1">
      <c r="A228" s="10">
        <v>45518.421310335645</v>
      </c>
      <c r="B228" s="10" t="str">
        <f t="shared" si="1"/>
        <v>Phil GreenwaldQ1: June 2024 - August 20241ST2.C</v>
      </c>
      <c r="C228" s="11" t="s">
        <v>464</v>
      </c>
      <c r="D228" s="11" t="s">
        <v>465</v>
      </c>
      <c r="E228" s="11" t="s">
        <v>21</v>
      </c>
      <c r="F228" s="11" t="s">
        <v>466</v>
      </c>
      <c r="G228" s="9"/>
      <c r="H228" s="12"/>
      <c r="I228" s="11" t="s">
        <v>27</v>
      </c>
      <c r="J228" s="11" t="s">
        <v>32</v>
      </c>
      <c r="K228" s="13">
        <v>90.0</v>
      </c>
      <c r="L228" s="14"/>
      <c r="M228" s="14"/>
      <c r="N228" s="14"/>
      <c r="O228" s="14"/>
      <c r="P228" s="14"/>
      <c r="Q228" s="15">
        <f t="shared" si="31"/>
        <v>0.9</v>
      </c>
      <c r="R228" s="11" t="s">
        <v>468</v>
      </c>
      <c r="S228" s="9"/>
      <c r="T228" s="9"/>
      <c r="U228" s="9"/>
      <c r="V228" s="9"/>
      <c r="W228" s="9"/>
      <c r="X228" s="9"/>
      <c r="Y228" s="9"/>
    </row>
    <row r="229" hidden="1">
      <c r="A229" s="10">
        <v>45518.42341584491</v>
      </c>
      <c r="B229" s="10" t="str">
        <f t="shared" si="1"/>
        <v>Phil GreenwaldQ1: June 2024 - August 20243RD3.B</v>
      </c>
      <c r="C229" s="11" t="s">
        <v>464</v>
      </c>
      <c r="D229" s="11" t="s">
        <v>465</v>
      </c>
      <c r="E229" s="11" t="s">
        <v>21</v>
      </c>
      <c r="F229" s="11" t="s">
        <v>466</v>
      </c>
      <c r="G229" s="9"/>
      <c r="H229" s="12"/>
      <c r="I229" s="11" t="s">
        <v>149</v>
      </c>
      <c r="J229" s="11" t="s">
        <v>24</v>
      </c>
      <c r="K229" s="13">
        <v>70.0</v>
      </c>
      <c r="L229" s="14"/>
      <c r="M229" s="14"/>
      <c r="N229" s="14"/>
      <c r="O229" s="14"/>
      <c r="P229" s="14"/>
      <c r="Q229" s="15">
        <f t="shared" si="31"/>
        <v>0.7</v>
      </c>
      <c r="R229" s="11" t="s">
        <v>469</v>
      </c>
      <c r="S229" s="9"/>
      <c r="T229" s="9"/>
      <c r="U229" s="9"/>
      <c r="V229" s="9"/>
      <c r="W229" s="9"/>
      <c r="X229" s="9"/>
      <c r="Y229" s="9"/>
    </row>
    <row r="230" hidden="1">
      <c r="A230" s="10">
        <v>45607.55096060185</v>
      </c>
      <c r="B230" s="10" t="str">
        <f t="shared" si="1"/>
        <v>Phil GreenwaldQ2: September 2024 - November 20242ND1.D</v>
      </c>
      <c r="C230" s="11" t="s">
        <v>464</v>
      </c>
      <c r="D230" s="11" t="s">
        <v>465</v>
      </c>
      <c r="E230" s="11" t="s">
        <v>34</v>
      </c>
      <c r="F230" s="11" t="s">
        <v>466</v>
      </c>
      <c r="G230" s="9"/>
      <c r="H230" s="12"/>
      <c r="I230" s="11" t="s">
        <v>23</v>
      </c>
      <c r="J230" s="11" t="s">
        <v>28</v>
      </c>
      <c r="K230" s="13">
        <v>100.0</v>
      </c>
      <c r="L230" s="14"/>
      <c r="M230" s="14"/>
      <c r="N230" s="14"/>
      <c r="O230" s="14"/>
      <c r="P230" s="14"/>
      <c r="Q230" s="15">
        <f t="shared" si="31"/>
        <v>1</v>
      </c>
      <c r="R230" s="11" t="s">
        <v>470</v>
      </c>
      <c r="S230" s="9"/>
      <c r="T230" s="9"/>
      <c r="U230" s="9"/>
      <c r="V230" s="9"/>
      <c r="W230" s="9"/>
      <c r="X230" s="9"/>
      <c r="Y230" s="9"/>
    </row>
    <row r="231" hidden="1">
      <c r="A231" s="10">
        <v>45607.54998069444</v>
      </c>
      <c r="B231" s="10" t="str">
        <f t="shared" si="1"/>
        <v>Phil GreenwaldQ2: September 2024 - November 20241ST1.C</v>
      </c>
      <c r="C231" s="11" t="s">
        <v>464</v>
      </c>
      <c r="D231" s="11" t="s">
        <v>465</v>
      </c>
      <c r="E231" s="11" t="s">
        <v>34</v>
      </c>
      <c r="F231" s="11" t="s">
        <v>466</v>
      </c>
      <c r="G231" s="9"/>
      <c r="H231" s="12"/>
      <c r="I231" s="11" t="s">
        <v>42</v>
      </c>
      <c r="J231" s="11" t="s">
        <v>32</v>
      </c>
      <c r="K231" s="13">
        <v>56.0</v>
      </c>
      <c r="L231" s="14"/>
      <c r="M231" s="14"/>
      <c r="N231" s="14"/>
      <c r="O231" s="14"/>
      <c r="P231" s="14"/>
      <c r="Q231" s="15">
        <f t="shared" si="31"/>
        <v>0.56</v>
      </c>
      <c r="R231" s="11" t="s">
        <v>471</v>
      </c>
      <c r="S231" s="9"/>
      <c r="T231" s="9"/>
      <c r="U231" s="9"/>
      <c r="V231" s="9"/>
      <c r="W231" s="9"/>
      <c r="X231" s="9"/>
      <c r="Y231" s="9"/>
    </row>
    <row r="232" hidden="1">
      <c r="A232" s="10">
        <v>45607.55173383102</v>
      </c>
      <c r="B232" s="10" t="str">
        <f t="shared" si="1"/>
        <v>Phil GreenwaldQ2: September 2024 - November 20243RD3.A</v>
      </c>
      <c r="C232" s="11" t="s">
        <v>464</v>
      </c>
      <c r="D232" s="11" t="s">
        <v>465</v>
      </c>
      <c r="E232" s="11" t="s">
        <v>34</v>
      </c>
      <c r="F232" s="11" t="s">
        <v>466</v>
      </c>
      <c r="G232" s="9"/>
      <c r="H232" s="12"/>
      <c r="I232" s="11" t="s">
        <v>94</v>
      </c>
      <c r="J232" s="11" t="s">
        <v>24</v>
      </c>
      <c r="K232" s="13">
        <v>33.0</v>
      </c>
      <c r="L232" s="14"/>
      <c r="M232" s="14"/>
      <c r="N232" s="14"/>
      <c r="O232" s="14"/>
      <c r="P232" s="14"/>
      <c r="Q232" s="15">
        <f t="shared" si="31"/>
        <v>0.33</v>
      </c>
      <c r="R232" s="11" t="s">
        <v>472</v>
      </c>
      <c r="S232" s="9"/>
      <c r="T232" s="9"/>
      <c r="U232" s="9"/>
      <c r="V232" s="9"/>
      <c r="W232" s="9"/>
      <c r="X232" s="9"/>
      <c r="Y232" s="9"/>
    </row>
    <row r="233" hidden="1">
      <c r="A233" s="10">
        <v>45607.55244142361</v>
      </c>
      <c r="B233" s="10" t="str">
        <f t="shared" si="1"/>
        <v>Phil GreenwaldQ2: September 2024 - November 20244TH3.D</v>
      </c>
      <c r="C233" s="11" t="s">
        <v>464</v>
      </c>
      <c r="D233" s="11" t="s">
        <v>465</v>
      </c>
      <c r="E233" s="11" t="s">
        <v>34</v>
      </c>
      <c r="F233" s="11" t="s">
        <v>466</v>
      </c>
      <c r="G233" s="9"/>
      <c r="H233" s="12"/>
      <c r="I233" s="11" t="s">
        <v>73</v>
      </c>
      <c r="J233" s="11" t="s">
        <v>59</v>
      </c>
      <c r="K233" s="13">
        <v>100.0</v>
      </c>
      <c r="L233" s="14"/>
      <c r="M233" s="14"/>
      <c r="N233" s="14"/>
      <c r="O233" s="14"/>
      <c r="P233" s="14"/>
      <c r="Q233" s="15">
        <f t="shared" si="31"/>
        <v>1</v>
      </c>
      <c r="R233" s="11" t="s">
        <v>473</v>
      </c>
      <c r="S233" s="9"/>
      <c r="T233" s="9"/>
      <c r="U233" s="9"/>
      <c r="V233" s="9"/>
      <c r="W233" s="9"/>
      <c r="X233" s="9"/>
      <c r="Y233" s="9"/>
    </row>
    <row r="234" hidden="1">
      <c r="A234" s="10">
        <v>45702.566822361114</v>
      </c>
      <c r="B234" s="10" t="str">
        <f t="shared" si="1"/>
        <v>Phil GreenwaldQ3: December 2024 - February 20251ST1.B</v>
      </c>
      <c r="C234" s="11" t="s">
        <v>464</v>
      </c>
      <c r="D234" s="11" t="s">
        <v>465</v>
      </c>
      <c r="E234" s="11" t="s">
        <v>40</v>
      </c>
      <c r="F234" s="11" t="s">
        <v>466</v>
      </c>
      <c r="G234" s="9"/>
      <c r="H234" s="12"/>
      <c r="I234" s="16" t="s">
        <v>318</v>
      </c>
      <c r="J234" s="11" t="s">
        <v>32</v>
      </c>
      <c r="K234" s="13">
        <v>38.75</v>
      </c>
      <c r="L234" s="13">
        <v>85.0</v>
      </c>
      <c r="M234" s="14"/>
      <c r="N234" s="14"/>
      <c r="O234" s="14"/>
      <c r="P234" s="14"/>
      <c r="Q234" s="15">
        <f t="shared" si="31"/>
        <v>0.61875</v>
      </c>
      <c r="R234" s="11" t="s">
        <v>474</v>
      </c>
      <c r="S234" s="9"/>
      <c r="T234" s="9"/>
      <c r="U234" s="9"/>
      <c r="V234" s="9"/>
      <c r="W234" s="9"/>
      <c r="X234" s="9"/>
      <c r="Y234" s="9"/>
    </row>
    <row r="235" hidden="1">
      <c r="A235" s="10">
        <v>45702.568993877314</v>
      </c>
      <c r="B235" s="10" t="str">
        <f t="shared" si="1"/>
        <v>Phil GreenwaldQ3: December 2024 - February 20252ND2.A</v>
      </c>
      <c r="C235" s="11" t="s">
        <v>464</v>
      </c>
      <c r="D235" s="11" t="s">
        <v>465</v>
      </c>
      <c r="E235" s="11" t="s">
        <v>40</v>
      </c>
      <c r="F235" s="11" t="s">
        <v>466</v>
      </c>
      <c r="G235" s="9"/>
      <c r="H235" s="12"/>
      <c r="I235" s="16" t="s">
        <v>36</v>
      </c>
      <c r="J235" s="11" t="s">
        <v>28</v>
      </c>
      <c r="K235" s="13">
        <v>95.0</v>
      </c>
      <c r="L235" s="13">
        <v>65.0</v>
      </c>
      <c r="M235" s="14"/>
      <c r="N235" s="14"/>
      <c r="O235" s="14"/>
      <c r="P235" s="14"/>
      <c r="Q235" s="15">
        <f t="shared" si="31"/>
        <v>0.8</v>
      </c>
      <c r="R235" s="11" t="s">
        <v>475</v>
      </c>
      <c r="S235" s="9"/>
      <c r="T235" s="9"/>
      <c r="U235" s="9"/>
      <c r="V235" s="9"/>
      <c r="W235" s="9"/>
      <c r="X235" s="9"/>
      <c r="Y235" s="9"/>
    </row>
    <row r="236" hidden="1">
      <c r="A236" s="10">
        <v>45702.5713855787</v>
      </c>
      <c r="B236" s="10" t="str">
        <f t="shared" si="1"/>
        <v>Phil GreenwaldQ3: December 2024 - February 20253RD3.A, 3.D</v>
      </c>
      <c r="C236" s="11" t="s">
        <v>464</v>
      </c>
      <c r="D236" s="11" t="s">
        <v>465</v>
      </c>
      <c r="E236" s="11" t="s">
        <v>40</v>
      </c>
      <c r="F236" s="11" t="s">
        <v>466</v>
      </c>
      <c r="G236" s="9"/>
      <c r="H236" s="12"/>
      <c r="I236" s="16" t="s">
        <v>476</v>
      </c>
      <c r="J236" s="11" t="s">
        <v>24</v>
      </c>
      <c r="K236" s="13">
        <v>100.0</v>
      </c>
      <c r="L236" s="13">
        <v>100.0</v>
      </c>
      <c r="M236" s="14"/>
      <c r="N236" s="14"/>
      <c r="O236" s="14"/>
      <c r="P236" s="14"/>
      <c r="Q236" s="15">
        <f t="shared" si="31"/>
        <v>1</v>
      </c>
      <c r="R236" s="11" t="s">
        <v>477</v>
      </c>
      <c r="S236" s="9"/>
      <c r="T236" s="9"/>
      <c r="U236" s="9"/>
      <c r="V236" s="9"/>
      <c r="W236" s="9"/>
      <c r="X236" s="9"/>
      <c r="Y236" s="9"/>
    </row>
    <row r="237" hidden="1">
      <c r="A237" s="10">
        <v>45796.47522253472</v>
      </c>
      <c r="B237" s="10" t="str">
        <f t="shared" si="1"/>
        <v>Phil GreenwaldQ4: March 2025 - May 20251ST1.C</v>
      </c>
      <c r="C237" s="11" t="s">
        <v>464</v>
      </c>
      <c r="D237" s="11" t="s">
        <v>465</v>
      </c>
      <c r="E237" s="11" t="s">
        <v>45</v>
      </c>
      <c r="F237" s="11" t="s">
        <v>466</v>
      </c>
      <c r="G237" s="9"/>
      <c r="H237" s="12"/>
      <c r="I237" s="11" t="s">
        <v>42</v>
      </c>
      <c r="J237" s="11" t="s">
        <v>32</v>
      </c>
      <c r="K237" s="11">
        <v>50.0</v>
      </c>
      <c r="L237" s="9"/>
      <c r="M237" s="9"/>
      <c r="N237" s="9"/>
      <c r="O237" s="9"/>
      <c r="P237" s="9"/>
      <c r="Q237" s="11">
        <v>50.0</v>
      </c>
      <c r="R237" s="11" t="s">
        <v>478</v>
      </c>
      <c r="S237" s="9"/>
      <c r="T237" s="9"/>
      <c r="U237" s="9"/>
      <c r="V237" s="9"/>
      <c r="W237" s="9"/>
      <c r="X237" s="9"/>
      <c r="Y237" s="9"/>
    </row>
    <row r="238" hidden="1">
      <c r="A238" s="10">
        <v>45796.47784037037</v>
      </c>
      <c r="B238" s="10" t="str">
        <f t="shared" si="1"/>
        <v>Phil GreenwaldQ4: March 2025 - May 20253RD3.B</v>
      </c>
      <c r="C238" s="11" t="s">
        <v>464</v>
      </c>
      <c r="D238" s="11" t="s">
        <v>465</v>
      </c>
      <c r="E238" s="11" t="s">
        <v>45</v>
      </c>
      <c r="F238" s="11" t="s">
        <v>466</v>
      </c>
      <c r="G238" s="9"/>
      <c r="H238" s="12"/>
      <c r="I238" s="11" t="s">
        <v>149</v>
      </c>
      <c r="J238" s="11" t="s">
        <v>24</v>
      </c>
      <c r="K238" s="11">
        <v>50.0</v>
      </c>
      <c r="L238" s="9"/>
      <c r="M238" s="9"/>
      <c r="N238" s="9"/>
      <c r="O238" s="9"/>
      <c r="P238" s="9"/>
      <c r="Q238" s="11">
        <v>65.0</v>
      </c>
      <c r="R238" s="11" t="s">
        <v>479</v>
      </c>
      <c r="S238" s="9"/>
      <c r="T238" s="9"/>
      <c r="U238" s="9"/>
      <c r="V238" s="9"/>
      <c r="W238" s="9"/>
      <c r="X238" s="9"/>
      <c r="Y238" s="9"/>
    </row>
    <row r="239" hidden="1">
      <c r="A239" s="10">
        <v>45796.47817510417</v>
      </c>
      <c r="B239" s="10" t="str">
        <f t="shared" si="1"/>
        <v>Phil GreenwaldQ4: March 2025 - May 20252ND2.A</v>
      </c>
      <c r="C239" s="11" t="s">
        <v>464</v>
      </c>
      <c r="D239" s="11" t="s">
        <v>465</v>
      </c>
      <c r="E239" s="11" t="s">
        <v>45</v>
      </c>
      <c r="F239" s="11" t="s">
        <v>466</v>
      </c>
      <c r="G239" s="9"/>
      <c r="H239" s="12"/>
      <c r="I239" s="11" t="s">
        <v>36</v>
      </c>
      <c r="J239" s="11" t="s">
        <v>28</v>
      </c>
      <c r="K239" s="11">
        <v>65.0</v>
      </c>
      <c r="L239" s="9"/>
      <c r="M239" s="9"/>
      <c r="N239" s="9"/>
      <c r="O239" s="9"/>
      <c r="P239" s="9"/>
      <c r="Q239" s="11">
        <v>50.0</v>
      </c>
      <c r="R239" s="11" t="s">
        <v>480</v>
      </c>
      <c r="S239" s="9"/>
      <c r="T239" s="9"/>
      <c r="U239" s="9"/>
      <c r="V239" s="9"/>
      <c r="W239" s="9"/>
      <c r="X239" s="9"/>
      <c r="Y239" s="9"/>
    </row>
    <row r="240" hidden="1">
      <c r="A240" s="26">
        <v>45607.68199824074</v>
      </c>
      <c r="B240" s="10" t="str">
        <f t="shared" si="1"/>
        <v>REBECCA ENRIGHTQ2: September 2024 - November 20241ST3.C</v>
      </c>
      <c r="C240" s="27" t="s">
        <v>306</v>
      </c>
      <c r="D240" s="27" t="s">
        <v>481</v>
      </c>
      <c r="E240" s="27" t="s">
        <v>34</v>
      </c>
      <c r="F240" s="27" t="s">
        <v>137</v>
      </c>
      <c r="G240" s="28"/>
      <c r="H240" s="29"/>
      <c r="I240" s="27" t="s">
        <v>61</v>
      </c>
      <c r="J240" s="27" t="s">
        <v>32</v>
      </c>
      <c r="K240" s="30">
        <v>25.0</v>
      </c>
      <c r="L240" s="30"/>
      <c r="M240" s="31"/>
      <c r="N240" s="31"/>
      <c r="O240" s="31"/>
      <c r="P240" s="31"/>
      <c r="Q240" s="32">
        <f t="shared" ref="Q240:Q247" si="32">AVERAGE(K240:P240)/100</f>
        <v>0.25</v>
      </c>
      <c r="R240" s="27" t="s">
        <v>482</v>
      </c>
      <c r="S240" s="28"/>
      <c r="T240" s="28"/>
      <c r="U240" s="28"/>
      <c r="V240" s="28"/>
      <c r="W240" s="28"/>
      <c r="X240" s="28"/>
      <c r="Y240" s="28"/>
    </row>
    <row r="241" hidden="1">
      <c r="A241" s="26">
        <v>45607.68199824074</v>
      </c>
      <c r="B241" s="10" t="str">
        <f t="shared" si="1"/>
        <v>REBECCA ENRIGHTQ2: September 2024 - November 20242ND2.C</v>
      </c>
      <c r="C241" s="27" t="s">
        <v>306</v>
      </c>
      <c r="D241" s="27" t="s">
        <v>481</v>
      </c>
      <c r="E241" s="27" t="s">
        <v>34</v>
      </c>
      <c r="F241" s="27" t="s">
        <v>137</v>
      </c>
      <c r="G241" s="28"/>
      <c r="H241" s="29"/>
      <c r="I241" s="27" t="s">
        <v>27</v>
      </c>
      <c r="J241" s="27" t="s">
        <v>28</v>
      </c>
      <c r="K241" s="30">
        <v>100.0</v>
      </c>
      <c r="L241" s="30"/>
      <c r="M241" s="31"/>
      <c r="N241" s="31"/>
      <c r="O241" s="31"/>
      <c r="P241" s="31"/>
      <c r="Q241" s="32">
        <f t="shared" si="32"/>
        <v>1</v>
      </c>
      <c r="R241" s="27" t="s">
        <v>482</v>
      </c>
      <c r="S241" s="28"/>
      <c r="T241" s="28"/>
      <c r="U241" s="28"/>
      <c r="V241" s="28"/>
      <c r="W241" s="28"/>
      <c r="X241" s="28"/>
      <c r="Y241" s="28"/>
    </row>
    <row r="242" hidden="1">
      <c r="A242" s="10">
        <v>45523.49927340278</v>
      </c>
      <c r="B242" s="10" t="str">
        <f t="shared" si="1"/>
        <v>Stephanie DavidsonQ1: June 2024 - August 20241ST2.C</v>
      </c>
      <c r="C242" s="11" t="s">
        <v>483</v>
      </c>
      <c r="D242" s="11" t="s">
        <v>484</v>
      </c>
      <c r="E242" s="11" t="s">
        <v>21</v>
      </c>
      <c r="F242" s="11" t="s">
        <v>485</v>
      </c>
      <c r="G242" s="9"/>
      <c r="H242" s="12"/>
      <c r="I242" s="11" t="s">
        <v>27</v>
      </c>
      <c r="J242" s="11" t="s">
        <v>32</v>
      </c>
      <c r="K242" s="13">
        <v>100.0</v>
      </c>
      <c r="L242" s="14"/>
      <c r="M242" s="14"/>
      <c r="N242" s="14"/>
      <c r="O242" s="14"/>
      <c r="P242" s="14"/>
      <c r="Q242" s="15">
        <f t="shared" si="32"/>
        <v>1</v>
      </c>
      <c r="R242" s="11" t="s">
        <v>486</v>
      </c>
      <c r="S242" s="9"/>
      <c r="T242" s="9"/>
      <c r="U242" s="9"/>
      <c r="V242" s="9"/>
      <c r="W242" s="9"/>
      <c r="X242" s="9"/>
      <c r="Y242" s="9"/>
    </row>
    <row r="243" hidden="1">
      <c r="A243" s="10">
        <v>45523.500738483795</v>
      </c>
      <c r="B243" s="10" t="str">
        <f t="shared" si="1"/>
        <v>Stephanie DavidsonQ1: June 2024 - August 20242ND3.A</v>
      </c>
      <c r="C243" s="11" t="s">
        <v>483</v>
      </c>
      <c r="D243" s="11" t="s">
        <v>484</v>
      </c>
      <c r="E243" s="11" t="s">
        <v>21</v>
      </c>
      <c r="F243" s="11" t="s">
        <v>485</v>
      </c>
      <c r="G243" s="9"/>
      <c r="H243" s="12"/>
      <c r="I243" s="11" t="s">
        <v>94</v>
      </c>
      <c r="J243" s="11" t="s">
        <v>28</v>
      </c>
      <c r="K243" s="13">
        <v>15.0</v>
      </c>
      <c r="L243" s="14"/>
      <c r="M243" s="14"/>
      <c r="N243" s="14"/>
      <c r="O243" s="14"/>
      <c r="P243" s="14"/>
      <c r="Q243" s="15">
        <f t="shared" si="32"/>
        <v>0.15</v>
      </c>
      <c r="R243" s="11" t="s">
        <v>487</v>
      </c>
      <c r="S243" s="9"/>
      <c r="T243" s="9"/>
      <c r="U243" s="9"/>
      <c r="V243" s="9"/>
      <c r="W243" s="9"/>
      <c r="X243" s="9"/>
      <c r="Y243" s="9"/>
    </row>
    <row r="244" hidden="1">
      <c r="A244" s="10">
        <v>45609.44120728009</v>
      </c>
      <c r="B244" s="10" t="str">
        <f t="shared" si="1"/>
        <v>Stephanie DavidsonQ2: September 2024 - November 20242ND1.B</v>
      </c>
      <c r="C244" s="11" t="s">
        <v>483</v>
      </c>
      <c r="D244" s="11" t="s">
        <v>484</v>
      </c>
      <c r="E244" s="11" t="s">
        <v>34</v>
      </c>
      <c r="F244" s="11" t="s">
        <v>485</v>
      </c>
      <c r="G244" s="9"/>
      <c r="H244" s="12"/>
      <c r="I244" s="11" t="s">
        <v>318</v>
      </c>
      <c r="J244" s="11" t="s">
        <v>28</v>
      </c>
      <c r="K244" s="13">
        <v>100.0</v>
      </c>
      <c r="L244" s="13">
        <v>50.0</v>
      </c>
      <c r="M244" s="13">
        <v>25.0</v>
      </c>
      <c r="N244" s="14"/>
      <c r="O244" s="14"/>
      <c r="P244" s="14"/>
      <c r="Q244" s="15">
        <f t="shared" si="32"/>
        <v>0.5833333333</v>
      </c>
      <c r="R244" s="11" t="s">
        <v>488</v>
      </c>
      <c r="S244" s="9"/>
      <c r="T244" s="9"/>
      <c r="U244" s="9"/>
      <c r="V244" s="9"/>
      <c r="W244" s="9"/>
      <c r="X244" s="9"/>
      <c r="Y244" s="9"/>
    </row>
    <row r="245" hidden="1">
      <c r="A245" s="10">
        <v>45609.50073112268</v>
      </c>
      <c r="B245" s="10" t="str">
        <f t="shared" si="1"/>
        <v>Stephanie DavidsonQ2: September 2024 - November 20241ST2.C</v>
      </c>
      <c r="C245" s="11" t="s">
        <v>483</v>
      </c>
      <c r="D245" s="11" t="s">
        <v>484</v>
      </c>
      <c r="E245" s="11" t="s">
        <v>34</v>
      </c>
      <c r="F245" s="11" t="s">
        <v>485</v>
      </c>
      <c r="G245" s="9"/>
      <c r="H245" s="12"/>
      <c r="I245" s="11" t="s">
        <v>27</v>
      </c>
      <c r="J245" s="11" t="s">
        <v>32</v>
      </c>
      <c r="K245" s="13">
        <v>100.0</v>
      </c>
      <c r="L245" s="13">
        <v>100.0</v>
      </c>
      <c r="M245" s="14"/>
      <c r="N245" s="14"/>
      <c r="O245" s="14"/>
      <c r="P245" s="14"/>
      <c r="Q245" s="15">
        <f t="shared" si="32"/>
        <v>1</v>
      </c>
      <c r="R245" s="11" t="s">
        <v>489</v>
      </c>
      <c r="S245" s="9"/>
      <c r="T245" s="9"/>
      <c r="U245" s="9"/>
      <c r="V245" s="9"/>
      <c r="W245" s="9"/>
      <c r="X245" s="9"/>
      <c r="Y245" s="9"/>
    </row>
    <row r="246" hidden="1">
      <c r="A246" s="10">
        <v>45708.41445685185</v>
      </c>
      <c r="B246" s="10" t="str">
        <f t="shared" si="1"/>
        <v>Stephanie DavidsonQ3: December 2024 - February 20252ND2.B, 2.C, 3.C</v>
      </c>
      <c r="C246" s="11" t="s">
        <v>490</v>
      </c>
      <c r="D246" s="11" t="s">
        <v>484</v>
      </c>
      <c r="E246" s="11" t="s">
        <v>40</v>
      </c>
      <c r="F246" s="11" t="s">
        <v>485</v>
      </c>
      <c r="G246" s="9"/>
      <c r="H246" s="12"/>
      <c r="I246" s="33" t="s">
        <v>491</v>
      </c>
      <c r="J246" s="11" t="s">
        <v>28</v>
      </c>
      <c r="K246" s="13">
        <v>100.0</v>
      </c>
      <c r="L246" s="13">
        <v>90.0</v>
      </c>
      <c r="M246" s="13">
        <v>0.0</v>
      </c>
      <c r="N246" s="13">
        <v>0.0</v>
      </c>
      <c r="O246" s="13">
        <v>0.0</v>
      </c>
      <c r="P246" s="13"/>
      <c r="Q246" s="15">
        <f t="shared" si="32"/>
        <v>0.38</v>
      </c>
      <c r="R246" s="11" t="s">
        <v>492</v>
      </c>
      <c r="S246" s="9"/>
      <c r="T246" s="9"/>
      <c r="U246" s="9"/>
      <c r="V246" s="9"/>
      <c r="W246" s="9"/>
      <c r="X246" s="9"/>
      <c r="Y246" s="9"/>
    </row>
    <row r="247" hidden="1">
      <c r="A247" s="10">
        <v>45712.823540046295</v>
      </c>
      <c r="B247" s="10" t="str">
        <f t="shared" si="1"/>
        <v>Stephanie DavidsonQ3: December 2024 - February 20251ST2.B, 2.C</v>
      </c>
      <c r="C247" s="11" t="s">
        <v>490</v>
      </c>
      <c r="D247" s="11" t="s">
        <v>484</v>
      </c>
      <c r="E247" s="11" t="s">
        <v>40</v>
      </c>
      <c r="F247" s="11" t="s">
        <v>485</v>
      </c>
      <c r="G247" s="9"/>
      <c r="H247" s="12"/>
      <c r="I247" s="11" t="s">
        <v>332</v>
      </c>
      <c r="J247" s="11" t="s">
        <v>32</v>
      </c>
      <c r="K247" s="13">
        <v>0.0</v>
      </c>
      <c r="L247" s="13">
        <v>0.0</v>
      </c>
      <c r="M247" s="13">
        <v>0.0</v>
      </c>
      <c r="N247" s="13">
        <v>0.0</v>
      </c>
      <c r="O247" s="13">
        <v>0.0</v>
      </c>
      <c r="P247" s="13">
        <v>0.0</v>
      </c>
      <c r="Q247" s="15">
        <f t="shared" si="32"/>
        <v>0</v>
      </c>
      <c r="R247" s="11" t="s">
        <v>493</v>
      </c>
      <c r="S247" s="9"/>
      <c r="T247" s="9"/>
      <c r="U247" s="9"/>
      <c r="V247" s="9"/>
      <c r="W247" s="9"/>
      <c r="X247" s="9"/>
      <c r="Y247" s="9"/>
    </row>
    <row r="248" hidden="1">
      <c r="A248" s="10">
        <v>45797.736632500004</v>
      </c>
      <c r="B248" s="10" t="str">
        <f t="shared" si="1"/>
        <v>Stephanie DavidsonQ4: March 2025 - May 20251ST2.B, 2.C, 3.C</v>
      </c>
      <c r="C248" s="11" t="s">
        <v>483</v>
      </c>
      <c r="D248" s="11" t="s">
        <v>484</v>
      </c>
      <c r="E248" s="11" t="s">
        <v>45</v>
      </c>
      <c r="F248" s="11" t="s">
        <v>485</v>
      </c>
      <c r="G248" s="9"/>
      <c r="H248" s="12"/>
      <c r="I248" s="11" t="s">
        <v>491</v>
      </c>
      <c r="J248" s="11" t="s">
        <v>32</v>
      </c>
      <c r="K248" s="11">
        <v>90.0</v>
      </c>
      <c r="L248" s="11">
        <v>100.0</v>
      </c>
      <c r="M248" s="11">
        <v>100.0</v>
      </c>
      <c r="N248" s="11">
        <v>0.0</v>
      </c>
      <c r="O248" s="11" t="s">
        <v>494</v>
      </c>
      <c r="P248" s="9"/>
      <c r="Q248" s="11">
        <v>68.0</v>
      </c>
      <c r="R248" s="11" t="s">
        <v>495</v>
      </c>
      <c r="S248" s="9"/>
      <c r="T248" s="9"/>
      <c r="U248" s="9"/>
      <c r="V248" s="9"/>
      <c r="W248" s="9"/>
      <c r="X248" s="9"/>
      <c r="Y248" s="9"/>
    </row>
    <row r="249" hidden="1">
      <c r="A249" s="10">
        <v>45520.59966121528</v>
      </c>
      <c r="B249" s="10" t="str">
        <f t="shared" si="1"/>
        <v>Tamara DawsonQ1: June 2024 - August 20241ST1.C</v>
      </c>
      <c r="C249" s="11" t="s">
        <v>496</v>
      </c>
      <c r="D249" s="11" t="s">
        <v>497</v>
      </c>
      <c r="E249" s="11" t="s">
        <v>21</v>
      </c>
      <c r="F249" s="11" t="s">
        <v>498</v>
      </c>
      <c r="G249" s="9"/>
      <c r="H249" s="12"/>
      <c r="I249" s="11" t="s">
        <v>42</v>
      </c>
      <c r="J249" s="11" t="s">
        <v>32</v>
      </c>
      <c r="K249" s="13">
        <v>100.0</v>
      </c>
      <c r="L249" s="14"/>
      <c r="M249" s="14"/>
      <c r="N249" s="14"/>
      <c r="O249" s="14"/>
      <c r="P249" s="14"/>
      <c r="Q249" s="15">
        <f t="shared" ref="Q249:Q257" si="33">AVERAGE(K249:P249)/100</f>
        <v>1</v>
      </c>
      <c r="R249" s="11" t="s">
        <v>499</v>
      </c>
      <c r="S249" s="9"/>
      <c r="T249" s="9"/>
      <c r="U249" s="9"/>
      <c r="V249" s="9"/>
      <c r="W249" s="9"/>
      <c r="X249" s="9"/>
      <c r="Y249" s="9"/>
    </row>
    <row r="250" hidden="1">
      <c r="A250" s="10">
        <v>45607.53675114583</v>
      </c>
      <c r="B250" s="10" t="str">
        <f t="shared" si="1"/>
        <v>Tamara DawsonQ2: September 2024 - November 20241ST3.B</v>
      </c>
      <c r="C250" s="11" t="s">
        <v>496</v>
      </c>
      <c r="D250" s="11" t="s">
        <v>497</v>
      </c>
      <c r="E250" s="11" t="s">
        <v>34</v>
      </c>
      <c r="F250" s="11" t="s">
        <v>498</v>
      </c>
      <c r="G250" s="9"/>
      <c r="H250" s="12"/>
      <c r="I250" s="11" t="s">
        <v>149</v>
      </c>
      <c r="J250" s="11" t="s">
        <v>32</v>
      </c>
      <c r="K250" s="13">
        <v>70.0</v>
      </c>
      <c r="L250" s="14"/>
      <c r="M250" s="14"/>
      <c r="N250" s="14"/>
      <c r="O250" s="14"/>
      <c r="P250" s="14"/>
      <c r="Q250" s="15">
        <f t="shared" si="33"/>
        <v>0.7</v>
      </c>
      <c r="R250" s="11" t="s">
        <v>500</v>
      </c>
      <c r="S250" s="9"/>
      <c r="T250" s="9"/>
      <c r="U250" s="9"/>
      <c r="V250" s="9"/>
      <c r="W250" s="9"/>
      <c r="X250" s="9"/>
      <c r="Y250" s="9"/>
    </row>
    <row r="251" hidden="1">
      <c r="A251" s="10">
        <v>45607.53910173611</v>
      </c>
      <c r="B251" s="10" t="str">
        <f t="shared" si="1"/>
        <v>Tamara DawsonQ2: September 2024 - November 20242ND3.B</v>
      </c>
      <c r="C251" s="11" t="s">
        <v>496</v>
      </c>
      <c r="D251" s="11" t="s">
        <v>497</v>
      </c>
      <c r="E251" s="11" t="s">
        <v>34</v>
      </c>
      <c r="F251" s="11" t="s">
        <v>498</v>
      </c>
      <c r="G251" s="11" t="s">
        <v>501</v>
      </c>
      <c r="H251" s="12"/>
      <c r="I251" s="11" t="s">
        <v>149</v>
      </c>
      <c r="J251" s="11" t="s">
        <v>28</v>
      </c>
      <c r="K251" s="13">
        <v>80.0</v>
      </c>
      <c r="L251" s="14"/>
      <c r="M251" s="14"/>
      <c r="N251" s="14"/>
      <c r="O251" s="14"/>
      <c r="P251" s="14"/>
      <c r="Q251" s="15">
        <f t="shared" si="33"/>
        <v>0.8</v>
      </c>
      <c r="R251" s="11" t="s">
        <v>502</v>
      </c>
      <c r="S251" s="9"/>
      <c r="T251" s="9"/>
      <c r="U251" s="9"/>
      <c r="V251" s="9"/>
      <c r="W251" s="9"/>
      <c r="X251" s="9"/>
      <c r="Y251" s="9"/>
    </row>
    <row r="252" hidden="1">
      <c r="A252" s="10">
        <v>45607.54059055555</v>
      </c>
      <c r="B252" s="10" t="str">
        <f t="shared" si="1"/>
        <v>Tamara DawsonQ2: September 2024 - November 20243RD3.B</v>
      </c>
      <c r="C252" s="11" t="s">
        <v>496</v>
      </c>
      <c r="D252" s="11" t="s">
        <v>497</v>
      </c>
      <c r="E252" s="11" t="s">
        <v>34</v>
      </c>
      <c r="F252" s="11" t="s">
        <v>498</v>
      </c>
      <c r="G252" s="9"/>
      <c r="H252" s="12"/>
      <c r="I252" s="11" t="s">
        <v>149</v>
      </c>
      <c r="J252" s="11" t="s">
        <v>24</v>
      </c>
      <c r="K252" s="13">
        <v>0.0</v>
      </c>
      <c r="L252" s="14"/>
      <c r="M252" s="14"/>
      <c r="N252" s="14"/>
      <c r="O252" s="14"/>
      <c r="P252" s="14"/>
      <c r="Q252" s="15">
        <f t="shared" si="33"/>
        <v>0</v>
      </c>
      <c r="R252" s="11" t="s">
        <v>503</v>
      </c>
      <c r="S252" s="9"/>
      <c r="T252" s="9"/>
      <c r="U252" s="9"/>
      <c r="V252" s="9"/>
      <c r="W252" s="9"/>
      <c r="X252" s="9"/>
      <c r="Y252" s="9"/>
    </row>
    <row r="253" hidden="1">
      <c r="A253" s="10">
        <v>45607.58845510417</v>
      </c>
      <c r="B253" s="10" t="str">
        <f t="shared" si="1"/>
        <v>Tamara DawsonQ2: September 2024 - November 20244TH3.B</v>
      </c>
      <c r="C253" s="11" t="s">
        <v>496</v>
      </c>
      <c r="D253" s="11" t="s">
        <v>497</v>
      </c>
      <c r="E253" s="11" t="s">
        <v>34</v>
      </c>
      <c r="F253" s="11" t="s">
        <v>498</v>
      </c>
      <c r="G253" s="9"/>
      <c r="H253" s="12"/>
      <c r="I253" s="11" t="s">
        <v>149</v>
      </c>
      <c r="J253" s="11" t="s">
        <v>59</v>
      </c>
      <c r="K253" s="13">
        <v>100.0</v>
      </c>
      <c r="L253" s="13">
        <v>100.0</v>
      </c>
      <c r="M253" s="14"/>
      <c r="N253" s="14"/>
      <c r="O253" s="14"/>
      <c r="P253" s="14"/>
      <c r="Q253" s="15">
        <f t="shared" si="33"/>
        <v>1</v>
      </c>
      <c r="R253" s="11" t="s">
        <v>504</v>
      </c>
      <c r="S253" s="9"/>
      <c r="T253" s="9"/>
      <c r="U253" s="9"/>
      <c r="V253" s="9"/>
      <c r="W253" s="9"/>
      <c r="X253" s="9"/>
      <c r="Y253" s="9"/>
    </row>
    <row r="254" hidden="1">
      <c r="A254" s="10">
        <v>45701.790753657406</v>
      </c>
      <c r="B254" s="10" t="str">
        <f t="shared" si="1"/>
        <v>Tamara DawsonQ3: December 2024 - February 20251ST3.B</v>
      </c>
      <c r="C254" s="11" t="s">
        <v>496</v>
      </c>
      <c r="D254" s="11" t="s">
        <v>497</v>
      </c>
      <c r="E254" s="11" t="s">
        <v>40</v>
      </c>
      <c r="F254" s="11" t="s">
        <v>498</v>
      </c>
      <c r="G254" s="9"/>
      <c r="H254" s="12"/>
      <c r="I254" s="16" t="s">
        <v>149</v>
      </c>
      <c r="J254" s="11" t="s">
        <v>32</v>
      </c>
      <c r="K254" s="13">
        <v>100.0</v>
      </c>
      <c r="L254" s="14"/>
      <c r="M254" s="14"/>
      <c r="N254" s="14"/>
      <c r="O254" s="14"/>
      <c r="P254" s="14"/>
      <c r="Q254" s="15">
        <f t="shared" si="33"/>
        <v>1</v>
      </c>
      <c r="R254" s="11" t="s">
        <v>505</v>
      </c>
      <c r="S254" s="9"/>
      <c r="T254" s="9"/>
      <c r="U254" s="9"/>
      <c r="V254" s="9"/>
      <c r="W254" s="9"/>
      <c r="X254" s="9"/>
      <c r="Y254" s="9"/>
    </row>
    <row r="255" hidden="1">
      <c r="A255" s="10">
        <v>45701.79324965278</v>
      </c>
      <c r="B255" s="10" t="str">
        <f t="shared" si="1"/>
        <v>Tamara DawsonQ3: December 2024 - February 20252ND3.B</v>
      </c>
      <c r="C255" s="11" t="s">
        <v>496</v>
      </c>
      <c r="D255" s="11" t="s">
        <v>497</v>
      </c>
      <c r="E255" s="11" t="s">
        <v>40</v>
      </c>
      <c r="F255" s="11" t="s">
        <v>498</v>
      </c>
      <c r="G255" s="9"/>
      <c r="H255" s="12"/>
      <c r="I255" s="16" t="s">
        <v>149</v>
      </c>
      <c r="J255" s="11" t="s">
        <v>28</v>
      </c>
      <c r="K255" s="13">
        <v>85.0</v>
      </c>
      <c r="L255" s="13">
        <v>100.0</v>
      </c>
      <c r="M255" s="14"/>
      <c r="N255" s="14"/>
      <c r="O255" s="14"/>
      <c r="P255" s="14"/>
      <c r="Q255" s="15">
        <f t="shared" si="33"/>
        <v>0.925</v>
      </c>
      <c r="R255" s="11" t="s">
        <v>506</v>
      </c>
      <c r="S255" s="9"/>
      <c r="T255" s="9"/>
      <c r="U255" s="9"/>
      <c r="V255" s="9"/>
      <c r="W255" s="9"/>
      <c r="X255" s="9"/>
      <c r="Y255" s="9"/>
    </row>
    <row r="256" hidden="1">
      <c r="A256" s="10">
        <v>45701.79494460648</v>
      </c>
      <c r="B256" s="10" t="str">
        <f t="shared" si="1"/>
        <v>Tamara DawsonQ3: December 2024 - February 20253RD3.B</v>
      </c>
      <c r="C256" s="11" t="s">
        <v>496</v>
      </c>
      <c r="D256" s="11" t="s">
        <v>497</v>
      </c>
      <c r="E256" s="11" t="s">
        <v>40</v>
      </c>
      <c r="F256" s="11" t="s">
        <v>498</v>
      </c>
      <c r="G256" s="9"/>
      <c r="H256" s="12"/>
      <c r="I256" s="16" t="s">
        <v>149</v>
      </c>
      <c r="J256" s="11" t="s">
        <v>24</v>
      </c>
      <c r="K256" s="13">
        <v>100.0</v>
      </c>
      <c r="L256" s="14"/>
      <c r="M256" s="14"/>
      <c r="N256" s="14"/>
      <c r="O256" s="14"/>
      <c r="P256" s="14"/>
      <c r="Q256" s="15">
        <f t="shared" si="33"/>
        <v>1</v>
      </c>
      <c r="R256" s="11" t="s">
        <v>507</v>
      </c>
      <c r="S256" s="9"/>
      <c r="T256" s="9"/>
      <c r="U256" s="9"/>
      <c r="V256" s="9"/>
      <c r="W256" s="9"/>
      <c r="X256" s="9"/>
      <c r="Y256" s="9"/>
    </row>
    <row r="257" hidden="1">
      <c r="A257" s="10">
        <v>45701.7982337963</v>
      </c>
      <c r="B257" s="10" t="str">
        <f t="shared" si="1"/>
        <v>Tamara DawsonQ3: December 2024 - February 20254TH3.B</v>
      </c>
      <c r="C257" s="11" t="s">
        <v>496</v>
      </c>
      <c r="D257" s="11" t="s">
        <v>497</v>
      </c>
      <c r="E257" s="11" t="s">
        <v>40</v>
      </c>
      <c r="F257" s="11" t="s">
        <v>498</v>
      </c>
      <c r="G257" s="9"/>
      <c r="H257" s="12"/>
      <c r="I257" s="16" t="s">
        <v>149</v>
      </c>
      <c r="J257" s="11" t="s">
        <v>59</v>
      </c>
      <c r="K257" s="13">
        <v>95.0</v>
      </c>
      <c r="L257" s="13">
        <v>85.0</v>
      </c>
      <c r="M257" s="14"/>
      <c r="N257" s="14"/>
      <c r="O257" s="14"/>
      <c r="P257" s="14"/>
      <c r="Q257" s="15">
        <f t="shared" si="33"/>
        <v>0.9</v>
      </c>
      <c r="R257" s="11" t="s">
        <v>508</v>
      </c>
      <c r="S257" s="9"/>
      <c r="T257" s="9"/>
      <c r="U257" s="9"/>
      <c r="V257" s="9"/>
      <c r="W257" s="9"/>
      <c r="X257" s="9"/>
      <c r="Y257" s="9"/>
    </row>
    <row r="258" hidden="1">
      <c r="A258" s="10">
        <v>45791.68495792824</v>
      </c>
      <c r="B258" s="10" t="str">
        <f t="shared" si="1"/>
        <v>Tamara DawsonQ4: March 2025 - May 20251ST3.A</v>
      </c>
      <c r="C258" s="11" t="s">
        <v>496</v>
      </c>
      <c r="D258" s="11" t="s">
        <v>497</v>
      </c>
      <c r="E258" s="11" t="s">
        <v>45</v>
      </c>
      <c r="F258" s="11" t="s">
        <v>498</v>
      </c>
      <c r="G258" s="9"/>
      <c r="H258" s="12"/>
      <c r="I258" s="11" t="s">
        <v>94</v>
      </c>
      <c r="J258" s="11" t="s">
        <v>32</v>
      </c>
      <c r="K258" s="11">
        <v>100.0</v>
      </c>
      <c r="L258" s="11">
        <v>75.0</v>
      </c>
      <c r="M258" s="9"/>
      <c r="N258" s="9"/>
      <c r="O258" s="9"/>
      <c r="P258" s="9"/>
      <c r="Q258" s="11">
        <v>88.0</v>
      </c>
      <c r="R258" s="11" t="s">
        <v>509</v>
      </c>
      <c r="S258" s="9"/>
      <c r="T258" s="9"/>
      <c r="U258" s="9"/>
      <c r="V258" s="9"/>
      <c r="W258" s="9"/>
      <c r="X258" s="9"/>
      <c r="Y258" s="9"/>
    </row>
    <row r="259" hidden="1">
      <c r="A259" s="10">
        <v>45791.68628671297</v>
      </c>
      <c r="B259" s="10" t="str">
        <f t="shared" si="1"/>
        <v>Tamara DawsonQ4: March 2025 - May 20252ND3.B</v>
      </c>
      <c r="C259" s="11" t="s">
        <v>496</v>
      </c>
      <c r="D259" s="11" t="s">
        <v>497</v>
      </c>
      <c r="E259" s="11" t="s">
        <v>45</v>
      </c>
      <c r="F259" s="11" t="s">
        <v>498</v>
      </c>
      <c r="G259" s="9"/>
      <c r="H259" s="12"/>
      <c r="I259" s="11" t="s">
        <v>149</v>
      </c>
      <c r="J259" s="11" t="s">
        <v>28</v>
      </c>
      <c r="K259" s="11">
        <v>100.0</v>
      </c>
      <c r="L259" s="9"/>
      <c r="M259" s="9"/>
      <c r="N259" s="9"/>
      <c r="O259" s="9"/>
      <c r="P259" s="9"/>
      <c r="Q259" s="11">
        <v>100.0</v>
      </c>
      <c r="R259" s="11" t="s">
        <v>510</v>
      </c>
      <c r="S259" s="9"/>
      <c r="T259" s="9"/>
      <c r="U259" s="9"/>
      <c r="V259" s="9"/>
      <c r="W259" s="9"/>
      <c r="X259" s="9"/>
      <c r="Y259" s="9"/>
    </row>
    <row r="260" hidden="1">
      <c r="A260" s="10">
        <v>45791.68871412037</v>
      </c>
      <c r="B260" s="10" t="str">
        <f t="shared" si="1"/>
        <v>Tamara DawsonQ4: March 2025 - May 20253RD3.B</v>
      </c>
      <c r="C260" s="11" t="s">
        <v>496</v>
      </c>
      <c r="D260" s="11" t="s">
        <v>497</v>
      </c>
      <c r="E260" s="11" t="s">
        <v>45</v>
      </c>
      <c r="F260" s="11" t="s">
        <v>498</v>
      </c>
      <c r="G260" s="9"/>
      <c r="H260" s="12"/>
      <c r="I260" s="11" t="s">
        <v>149</v>
      </c>
      <c r="J260" s="11" t="s">
        <v>24</v>
      </c>
      <c r="K260" s="11">
        <v>86.0</v>
      </c>
      <c r="L260" s="11">
        <v>72.0</v>
      </c>
      <c r="M260" s="11">
        <v>72.0</v>
      </c>
      <c r="N260" s="11">
        <v>86.0</v>
      </c>
      <c r="O260" s="11">
        <v>86.0</v>
      </c>
      <c r="P260" s="9"/>
      <c r="Q260" s="11">
        <v>79.0</v>
      </c>
      <c r="R260" s="11" t="s">
        <v>511</v>
      </c>
      <c r="S260" s="9"/>
      <c r="T260" s="9"/>
      <c r="U260" s="9"/>
      <c r="V260" s="9"/>
      <c r="W260" s="9"/>
      <c r="X260" s="9"/>
      <c r="Y260" s="9"/>
    </row>
    <row r="261" hidden="1">
      <c r="A261" s="34">
        <v>45847.41211366898</v>
      </c>
      <c r="C261" s="35" t="s">
        <v>309</v>
      </c>
      <c r="D261" s="35" t="s">
        <v>512</v>
      </c>
      <c r="E261" s="35" t="s">
        <v>513</v>
      </c>
      <c r="F261" s="35" t="s">
        <v>300</v>
      </c>
      <c r="G261" s="35" t="s">
        <v>514</v>
      </c>
      <c r="H261" s="35" t="s">
        <v>137</v>
      </c>
      <c r="J261" s="35" t="s">
        <v>515</v>
      </c>
      <c r="K261" s="35">
        <v>25.0</v>
      </c>
      <c r="L261" s="35">
        <v>0.0</v>
      </c>
      <c r="M261" s="35">
        <v>55.0</v>
      </c>
      <c r="N261" s="35">
        <v>0.0</v>
      </c>
      <c r="O261" s="35" t="s">
        <v>516</v>
      </c>
      <c r="R261" s="35" t="s">
        <v>517</v>
      </c>
    </row>
    <row r="262">
      <c r="A262" s="36">
        <v>45882.582365775466</v>
      </c>
      <c r="B262" s="37" t="str">
        <f t="shared" ref="B262:B304" si="34">CONCATENATE(D262,E262,J262,I262)</f>
        <v>Michelle StrainQ1: June 2025 - August 2025OKR 3</v>
      </c>
      <c r="C262" s="38" t="s">
        <v>435</v>
      </c>
      <c r="D262" s="38" t="s">
        <v>436</v>
      </c>
      <c r="E262" s="38" t="s">
        <v>518</v>
      </c>
      <c r="F262" s="38" t="s">
        <v>89</v>
      </c>
      <c r="G262" s="38" t="s">
        <v>519</v>
      </c>
      <c r="H262" s="38" t="s">
        <v>520</v>
      </c>
      <c r="I262" s="39"/>
      <c r="J262" s="38" t="s">
        <v>521</v>
      </c>
      <c r="K262" s="38">
        <v>100.0</v>
      </c>
      <c r="L262" s="38">
        <v>100.0</v>
      </c>
      <c r="M262" s="38">
        <v>100.0</v>
      </c>
      <c r="N262" s="39"/>
      <c r="O262" s="39"/>
      <c r="P262" s="39"/>
      <c r="Q262" s="39"/>
      <c r="R262" s="38" t="s">
        <v>522</v>
      </c>
      <c r="S262" s="39"/>
      <c r="T262" s="39"/>
      <c r="U262" s="39"/>
      <c r="V262" s="39"/>
      <c r="W262" s="39"/>
      <c r="X262" s="39"/>
      <c r="Y262" s="39"/>
    </row>
    <row r="263">
      <c r="A263" s="36">
        <v>45882.584009224534</v>
      </c>
      <c r="B263" s="37" t="str">
        <f t="shared" si="34"/>
        <v>Michelle StrainQ1: June 2025 - August 2025OKR 4</v>
      </c>
      <c r="C263" s="38" t="s">
        <v>435</v>
      </c>
      <c r="D263" s="38" t="s">
        <v>436</v>
      </c>
      <c r="E263" s="38" t="s">
        <v>518</v>
      </c>
      <c r="F263" s="38" t="s">
        <v>89</v>
      </c>
      <c r="G263" s="38" t="s">
        <v>519</v>
      </c>
      <c r="H263" s="38" t="s">
        <v>520</v>
      </c>
      <c r="I263" s="39"/>
      <c r="J263" s="38" t="s">
        <v>523</v>
      </c>
      <c r="K263" s="38">
        <v>50.0</v>
      </c>
      <c r="L263" s="38">
        <v>100.0</v>
      </c>
      <c r="M263" s="39"/>
      <c r="N263" s="39"/>
      <c r="O263" s="39"/>
      <c r="P263" s="39"/>
      <c r="Q263" s="39"/>
      <c r="R263" s="38" t="s">
        <v>524</v>
      </c>
      <c r="S263" s="39"/>
      <c r="T263" s="39"/>
      <c r="U263" s="39"/>
      <c r="V263" s="39"/>
      <c r="W263" s="39"/>
      <c r="X263" s="39"/>
      <c r="Y263" s="39"/>
    </row>
    <row r="264">
      <c r="A264" s="36">
        <v>45882.62044396991</v>
      </c>
      <c r="B264" s="37" t="str">
        <f t="shared" si="34"/>
        <v>Michelle StrainQ1: June 2025 - August 2025OKR 5</v>
      </c>
      <c r="C264" s="38" t="s">
        <v>435</v>
      </c>
      <c r="D264" s="38" t="s">
        <v>436</v>
      </c>
      <c r="E264" s="38" t="s">
        <v>518</v>
      </c>
      <c r="F264" s="38" t="s">
        <v>89</v>
      </c>
      <c r="G264" s="38" t="s">
        <v>519</v>
      </c>
      <c r="H264" s="38" t="s">
        <v>520</v>
      </c>
      <c r="I264" s="39"/>
      <c r="J264" s="38" t="s">
        <v>515</v>
      </c>
      <c r="K264" s="38">
        <v>100.0</v>
      </c>
      <c r="L264" s="38">
        <v>100.0</v>
      </c>
      <c r="M264" s="38">
        <v>90.0</v>
      </c>
      <c r="N264" s="39"/>
      <c r="O264" s="39"/>
      <c r="P264" s="39"/>
      <c r="Q264" s="39"/>
      <c r="R264" s="38" t="s">
        <v>525</v>
      </c>
      <c r="S264" s="39"/>
      <c r="T264" s="39"/>
      <c r="U264" s="39"/>
      <c r="V264" s="39"/>
      <c r="W264" s="39"/>
      <c r="X264" s="39"/>
      <c r="Y264" s="39"/>
    </row>
    <row r="265">
      <c r="A265" s="36">
        <v>45882.68714009259</v>
      </c>
      <c r="B265" s="37" t="str">
        <f t="shared" si="34"/>
        <v>Jody AllenQ1: June 2025 - August 2025OKR 1</v>
      </c>
      <c r="C265" s="38" t="s">
        <v>334</v>
      </c>
      <c r="D265" s="38" t="s">
        <v>335</v>
      </c>
      <c r="E265" s="38" t="s">
        <v>518</v>
      </c>
      <c r="F265" s="38" t="s">
        <v>336</v>
      </c>
      <c r="G265" s="39"/>
      <c r="H265" s="38" t="s">
        <v>520</v>
      </c>
      <c r="I265" s="39"/>
      <c r="J265" s="38" t="s">
        <v>526</v>
      </c>
      <c r="K265" s="38">
        <v>10.0</v>
      </c>
      <c r="L265" s="38">
        <v>0.0</v>
      </c>
      <c r="M265" s="38">
        <v>20.0</v>
      </c>
      <c r="N265" s="38">
        <v>20.0</v>
      </c>
      <c r="O265" s="39"/>
      <c r="P265" s="39"/>
      <c r="Q265" s="39"/>
      <c r="R265" s="38" t="s">
        <v>527</v>
      </c>
      <c r="S265" s="39"/>
      <c r="T265" s="39"/>
      <c r="U265" s="39"/>
      <c r="V265" s="39"/>
      <c r="W265" s="39"/>
      <c r="X265" s="39"/>
      <c r="Y265" s="39"/>
    </row>
    <row r="266">
      <c r="A266" s="36">
        <v>45882.68852880787</v>
      </c>
      <c r="B266" s="37" t="str">
        <f t="shared" si="34"/>
        <v>Jody AllenQ1: June 2025 - August 2025OKR 1</v>
      </c>
      <c r="C266" s="38" t="s">
        <v>334</v>
      </c>
      <c r="D266" s="38" t="s">
        <v>335</v>
      </c>
      <c r="E266" s="38" t="s">
        <v>518</v>
      </c>
      <c r="F266" s="38" t="s">
        <v>347</v>
      </c>
      <c r="G266" s="38" t="s">
        <v>514</v>
      </c>
      <c r="H266" s="38" t="s">
        <v>520</v>
      </c>
      <c r="I266" s="39"/>
      <c r="J266" s="38" t="s">
        <v>526</v>
      </c>
      <c r="K266" s="38">
        <v>25.0</v>
      </c>
      <c r="L266" s="38">
        <v>75.0</v>
      </c>
      <c r="M266" s="38">
        <v>80.0</v>
      </c>
      <c r="N266" s="38">
        <v>10.0</v>
      </c>
      <c r="O266" s="39"/>
      <c r="P266" s="39"/>
      <c r="Q266" s="39"/>
      <c r="R266" s="38" t="s">
        <v>528</v>
      </c>
      <c r="S266" s="39"/>
      <c r="T266" s="39"/>
      <c r="U266" s="39"/>
      <c r="V266" s="39"/>
      <c r="W266" s="39"/>
      <c r="X266" s="39"/>
      <c r="Y266" s="39"/>
    </row>
    <row r="267">
      <c r="A267" s="36">
        <v>45883.57704449074</v>
      </c>
      <c r="B267" s="37" t="str">
        <f t="shared" si="34"/>
        <v>Mark PickensQ1: June 2025 - August 2025OKR 2</v>
      </c>
      <c r="C267" s="38" t="s">
        <v>404</v>
      </c>
      <c r="D267" s="38" t="s">
        <v>405</v>
      </c>
      <c r="E267" s="38" t="s">
        <v>518</v>
      </c>
      <c r="F267" s="38" t="s">
        <v>406</v>
      </c>
      <c r="G267" s="38" t="s">
        <v>514</v>
      </c>
      <c r="H267" s="38" t="s">
        <v>520</v>
      </c>
      <c r="I267" s="39"/>
      <c r="J267" s="38" t="s">
        <v>529</v>
      </c>
      <c r="K267" s="38">
        <v>100.0</v>
      </c>
      <c r="L267" s="39"/>
      <c r="M267" s="39"/>
      <c r="N267" s="39"/>
      <c r="O267" s="39"/>
      <c r="P267" s="39"/>
      <c r="Q267" s="39"/>
      <c r="R267" s="38" t="s">
        <v>530</v>
      </c>
      <c r="S267" s="39"/>
      <c r="T267" s="39"/>
      <c r="U267" s="39"/>
      <c r="V267" s="39"/>
      <c r="W267" s="39"/>
      <c r="X267" s="39"/>
      <c r="Y267" s="39"/>
    </row>
    <row r="268">
      <c r="A268" s="36">
        <v>45883.58683054398</v>
      </c>
      <c r="B268" s="37" t="str">
        <f t="shared" si="34"/>
        <v>Mark PickensQ1: June 2025 - August 2025OKR 1</v>
      </c>
      <c r="C268" s="38" t="s">
        <v>404</v>
      </c>
      <c r="D268" s="38" t="s">
        <v>405</v>
      </c>
      <c r="E268" s="38" t="s">
        <v>518</v>
      </c>
      <c r="F268" s="38" t="s">
        <v>406</v>
      </c>
      <c r="G268" s="38" t="s">
        <v>514</v>
      </c>
      <c r="H268" s="38" t="s">
        <v>520</v>
      </c>
      <c r="I268" s="39"/>
      <c r="J268" s="38" t="s">
        <v>526</v>
      </c>
      <c r="K268" s="38">
        <v>100.0</v>
      </c>
      <c r="L268" s="38">
        <v>100.0</v>
      </c>
      <c r="M268" s="39"/>
      <c r="N268" s="39"/>
      <c r="O268" s="39"/>
      <c r="P268" s="39"/>
      <c r="Q268" s="39"/>
      <c r="R268" s="38" t="s">
        <v>531</v>
      </c>
      <c r="S268" s="39"/>
      <c r="T268" s="39"/>
      <c r="U268" s="39"/>
      <c r="V268" s="39"/>
      <c r="W268" s="39"/>
      <c r="X268" s="39"/>
      <c r="Y268" s="39"/>
    </row>
    <row r="269">
      <c r="A269" s="36">
        <v>45884.34503832176</v>
      </c>
      <c r="B269" s="37" t="str">
        <f t="shared" si="34"/>
        <v>Harold KihegaQ1: June 2025 - August 2025OKR 1</v>
      </c>
      <c r="C269" s="38" t="s">
        <v>284</v>
      </c>
      <c r="D269" s="38" t="s">
        <v>285</v>
      </c>
      <c r="E269" s="38" t="s">
        <v>518</v>
      </c>
      <c r="F269" s="38" t="s">
        <v>129</v>
      </c>
      <c r="G269" s="38" t="s">
        <v>532</v>
      </c>
      <c r="H269" s="38" t="s">
        <v>520</v>
      </c>
      <c r="I269" s="39"/>
      <c r="J269" s="38" t="s">
        <v>526</v>
      </c>
      <c r="K269" s="38">
        <v>99.9</v>
      </c>
      <c r="L269" s="39"/>
      <c r="M269" s="39"/>
      <c r="N269" s="39"/>
      <c r="O269" s="39"/>
      <c r="P269" s="39"/>
      <c r="Q269" s="39"/>
      <c r="R269" s="38" t="s">
        <v>533</v>
      </c>
      <c r="S269" s="39"/>
      <c r="T269" s="39"/>
      <c r="U269" s="39"/>
      <c r="V269" s="39"/>
      <c r="W269" s="39"/>
      <c r="X269" s="39"/>
      <c r="Y269" s="39"/>
    </row>
    <row r="270">
      <c r="A270" s="36">
        <v>45884.461316076384</v>
      </c>
      <c r="B270" s="37" t="str">
        <f t="shared" si="34"/>
        <v>Saundra MedranoQ1: June 2025 - August 2025OKR 1</v>
      </c>
      <c r="C270" s="38" t="s">
        <v>534</v>
      </c>
      <c r="D270" s="38" t="s">
        <v>535</v>
      </c>
      <c r="E270" s="38" t="s">
        <v>518</v>
      </c>
      <c r="F270" s="38" t="s">
        <v>200</v>
      </c>
      <c r="G270" s="38" t="s">
        <v>536</v>
      </c>
      <c r="H270" s="38" t="s">
        <v>520</v>
      </c>
      <c r="I270" s="39"/>
      <c r="J270" s="38" t="s">
        <v>526</v>
      </c>
      <c r="K270" s="38">
        <v>100.0</v>
      </c>
      <c r="L270" s="38"/>
      <c r="M270" s="39"/>
      <c r="N270" s="39"/>
      <c r="O270" s="39"/>
      <c r="P270" s="39"/>
      <c r="Q270" s="39"/>
      <c r="R270" s="38" t="s">
        <v>537</v>
      </c>
      <c r="S270" s="39"/>
      <c r="T270" s="39"/>
      <c r="U270" s="39"/>
      <c r="V270" s="39"/>
      <c r="W270" s="39"/>
      <c r="X270" s="39"/>
      <c r="Y270" s="39"/>
    </row>
    <row r="271">
      <c r="A271" s="36">
        <v>45884.461316076384</v>
      </c>
      <c r="B271" s="37" t="str">
        <f t="shared" si="34"/>
        <v>Saundra MedranoQ1: June 2025 - August 2025OKR 2</v>
      </c>
      <c r="C271" s="38" t="s">
        <v>534</v>
      </c>
      <c r="D271" s="38" t="s">
        <v>535</v>
      </c>
      <c r="E271" s="38" t="s">
        <v>518</v>
      </c>
      <c r="F271" s="38" t="s">
        <v>200</v>
      </c>
      <c r="G271" s="38" t="s">
        <v>536</v>
      </c>
      <c r="H271" s="38" t="s">
        <v>520</v>
      </c>
      <c r="I271" s="39"/>
      <c r="J271" s="38" t="s">
        <v>529</v>
      </c>
      <c r="K271" s="38">
        <v>100.0</v>
      </c>
      <c r="L271" s="38"/>
      <c r="M271" s="39"/>
      <c r="N271" s="39"/>
      <c r="O271" s="39"/>
      <c r="P271" s="39"/>
      <c r="Q271" s="39"/>
      <c r="R271" s="38" t="s">
        <v>537</v>
      </c>
      <c r="S271" s="39"/>
      <c r="T271" s="39"/>
      <c r="U271" s="39"/>
      <c r="V271" s="39"/>
      <c r="W271" s="39"/>
      <c r="X271" s="39"/>
      <c r="Y271" s="39"/>
    </row>
    <row r="272">
      <c r="A272" s="36">
        <v>45887.318930925925</v>
      </c>
      <c r="B272" s="37" t="str">
        <f t="shared" si="34"/>
        <v>Stephanie DavidsonQ1: June 2025 - August 2025OKR 1</v>
      </c>
      <c r="C272" s="38" t="s">
        <v>490</v>
      </c>
      <c r="D272" s="38" t="s">
        <v>484</v>
      </c>
      <c r="E272" s="38" t="s">
        <v>518</v>
      </c>
      <c r="F272" s="38" t="s">
        <v>485</v>
      </c>
      <c r="G272" s="38" t="s">
        <v>514</v>
      </c>
      <c r="H272" s="38" t="s">
        <v>520</v>
      </c>
      <c r="I272" s="39"/>
      <c r="J272" s="38" t="s">
        <v>526</v>
      </c>
      <c r="K272" s="38">
        <v>60.0</v>
      </c>
      <c r="L272" s="38">
        <v>80.0</v>
      </c>
      <c r="M272" s="38">
        <v>50.0</v>
      </c>
      <c r="N272" s="38">
        <v>40.0</v>
      </c>
      <c r="O272" s="39"/>
      <c r="P272" s="39"/>
      <c r="Q272" s="39"/>
      <c r="R272" s="38" t="s">
        <v>538</v>
      </c>
      <c r="S272" s="39"/>
      <c r="T272" s="39"/>
      <c r="U272" s="39"/>
      <c r="V272" s="39"/>
      <c r="W272" s="39"/>
      <c r="X272" s="39"/>
      <c r="Y272" s="39"/>
    </row>
    <row r="273">
      <c r="A273" s="36">
        <v>45887.33878104167</v>
      </c>
      <c r="B273" s="37" t="str">
        <f t="shared" si="34"/>
        <v>Jessica RussellQ1: June 2025 - August 2025OKR 1</v>
      </c>
      <c r="C273" s="38" t="s">
        <v>314</v>
      </c>
      <c r="D273" s="38" t="s">
        <v>315</v>
      </c>
      <c r="E273" s="38" t="s">
        <v>518</v>
      </c>
      <c r="F273" s="38" t="s">
        <v>316</v>
      </c>
      <c r="G273" s="38" t="s">
        <v>514</v>
      </c>
      <c r="H273" s="38" t="s">
        <v>520</v>
      </c>
      <c r="I273" s="39"/>
      <c r="J273" s="38" t="s">
        <v>526</v>
      </c>
      <c r="K273" s="38">
        <v>30.0</v>
      </c>
      <c r="L273" s="39"/>
      <c r="M273" s="39"/>
      <c r="N273" s="39"/>
      <c r="O273" s="39"/>
      <c r="P273" s="39"/>
      <c r="Q273" s="39"/>
      <c r="R273" s="38" t="s">
        <v>539</v>
      </c>
      <c r="S273" s="39"/>
      <c r="T273" s="39"/>
      <c r="U273" s="39"/>
      <c r="V273" s="39"/>
      <c r="W273" s="39"/>
      <c r="X273" s="39"/>
      <c r="Y273" s="39"/>
    </row>
    <row r="274">
      <c r="A274" s="36">
        <v>45887.38941471065</v>
      </c>
      <c r="B274" s="37" t="str">
        <f t="shared" si="34"/>
        <v>Jessica RussellQ1: June 2025 - August 2025OKR 2</v>
      </c>
      <c r="C274" s="38" t="s">
        <v>314</v>
      </c>
      <c r="D274" s="38" t="s">
        <v>315</v>
      </c>
      <c r="E274" s="38" t="s">
        <v>518</v>
      </c>
      <c r="F274" s="38" t="s">
        <v>316</v>
      </c>
      <c r="G274" s="38" t="s">
        <v>514</v>
      </c>
      <c r="H274" s="38" t="s">
        <v>520</v>
      </c>
      <c r="I274" s="39"/>
      <c r="J274" s="38" t="s">
        <v>529</v>
      </c>
      <c r="K274" s="38">
        <v>100.0</v>
      </c>
      <c r="L274" s="39"/>
      <c r="M274" s="39"/>
      <c r="N274" s="39"/>
      <c r="O274" s="39"/>
      <c r="P274" s="39"/>
      <c r="Q274" s="39"/>
      <c r="R274" s="38" t="s">
        <v>540</v>
      </c>
      <c r="S274" s="39"/>
      <c r="T274" s="39"/>
      <c r="U274" s="39"/>
      <c r="V274" s="39"/>
      <c r="W274" s="39"/>
      <c r="X274" s="39"/>
      <c r="Y274" s="39"/>
    </row>
    <row r="275">
      <c r="A275" s="36">
        <v>45887.3994628588</v>
      </c>
      <c r="B275" s="37" t="str">
        <f t="shared" si="34"/>
        <v>Jessica RussellQ1: June 2025 - August 2025OKR 3</v>
      </c>
      <c r="C275" s="38" t="s">
        <v>314</v>
      </c>
      <c r="D275" s="38" t="s">
        <v>315</v>
      </c>
      <c r="E275" s="38" t="s">
        <v>518</v>
      </c>
      <c r="F275" s="38" t="s">
        <v>316</v>
      </c>
      <c r="G275" s="38" t="s">
        <v>514</v>
      </c>
      <c r="H275" s="38" t="s">
        <v>520</v>
      </c>
      <c r="I275" s="39"/>
      <c r="J275" s="38" t="s">
        <v>521</v>
      </c>
      <c r="K275" s="38">
        <v>25.0</v>
      </c>
      <c r="L275" s="39"/>
      <c r="M275" s="39"/>
      <c r="N275" s="39"/>
      <c r="O275" s="39"/>
      <c r="P275" s="39"/>
      <c r="Q275" s="39"/>
      <c r="R275" s="38" t="s">
        <v>541</v>
      </c>
      <c r="S275" s="39"/>
      <c r="T275" s="39"/>
      <c r="U275" s="39"/>
      <c r="V275" s="39"/>
      <c r="W275" s="39"/>
      <c r="X275" s="39"/>
      <c r="Y275" s="39"/>
    </row>
    <row r="276">
      <c r="A276" s="36">
        <v>45912.423421747684</v>
      </c>
      <c r="B276" s="37" t="str">
        <f t="shared" si="34"/>
        <v>Dr. Justin KeyY2:Q1: June 2025 - August 2025OKR 1</v>
      </c>
      <c r="C276" s="38" t="s">
        <v>351</v>
      </c>
      <c r="D276" s="38" t="s">
        <v>542</v>
      </c>
      <c r="E276" s="38" t="s">
        <v>543</v>
      </c>
      <c r="F276" s="38" t="s">
        <v>353</v>
      </c>
      <c r="G276" s="38" t="s">
        <v>544</v>
      </c>
      <c r="H276" s="38" t="s">
        <v>520</v>
      </c>
      <c r="I276" s="39"/>
      <c r="J276" s="38" t="s">
        <v>526</v>
      </c>
      <c r="K276" s="38">
        <v>100.0</v>
      </c>
      <c r="L276" s="38">
        <v>100.0</v>
      </c>
      <c r="M276" s="38">
        <v>100.0</v>
      </c>
      <c r="N276" s="39"/>
      <c r="O276" s="39"/>
      <c r="P276" s="39"/>
      <c r="Q276" s="39"/>
      <c r="R276" s="38" t="s">
        <v>545</v>
      </c>
      <c r="S276" s="39"/>
      <c r="T276" s="39"/>
      <c r="U276" s="39"/>
      <c r="V276" s="39"/>
      <c r="W276" s="39"/>
      <c r="X276" s="39"/>
      <c r="Y276" s="39"/>
    </row>
    <row r="277">
      <c r="A277" s="36">
        <v>45887.43419704861</v>
      </c>
      <c r="B277" s="37" t="str">
        <f t="shared" si="34"/>
        <v>Phil Greenwald/Carrie GreenQ1: June 2025 - August 2025OKR 1</v>
      </c>
      <c r="C277" s="38" t="s">
        <v>464</v>
      </c>
      <c r="D277" s="38" t="s">
        <v>546</v>
      </c>
      <c r="E277" s="38" t="s">
        <v>518</v>
      </c>
      <c r="F277" s="38" t="s">
        <v>466</v>
      </c>
      <c r="G277" s="39"/>
      <c r="H277" s="38" t="s">
        <v>520</v>
      </c>
      <c r="I277" s="39"/>
      <c r="J277" s="38" t="s">
        <v>526</v>
      </c>
      <c r="K277" s="38">
        <v>100.0</v>
      </c>
      <c r="L277" s="39"/>
      <c r="M277" s="39"/>
      <c r="N277" s="39"/>
      <c r="O277" s="39"/>
      <c r="P277" s="39"/>
      <c r="Q277" s="39"/>
      <c r="R277" s="38" t="s">
        <v>547</v>
      </c>
      <c r="S277" s="39"/>
      <c r="T277" s="39"/>
      <c r="U277" s="39"/>
      <c r="V277" s="39"/>
      <c r="W277" s="39"/>
      <c r="X277" s="39"/>
      <c r="Y277" s="39"/>
    </row>
    <row r="278">
      <c r="A278" s="36">
        <v>45887.43637850694</v>
      </c>
      <c r="B278" s="37" t="str">
        <f t="shared" si="34"/>
        <v>Phil Greenwald/Carrie GreenQ1: June 2025 - August 2025OKR 2</v>
      </c>
      <c r="C278" s="38" t="s">
        <v>464</v>
      </c>
      <c r="D278" s="38" t="s">
        <v>546</v>
      </c>
      <c r="E278" s="38" t="s">
        <v>518</v>
      </c>
      <c r="F278" s="38" t="s">
        <v>466</v>
      </c>
      <c r="G278" s="39"/>
      <c r="H278" s="38" t="s">
        <v>520</v>
      </c>
      <c r="I278" s="39"/>
      <c r="J278" s="38" t="s">
        <v>529</v>
      </c>
      <c r="K278" s="38">
        <v>85.0</v>
      </c>
      <c r="L278" s="38">
        <v>85.0</v>
      </c>
      <c r="M278" s="39"/>
      <c r="N278" s="39"/>
      <c r="O278" s="39"/>
      <c r="P278" s="39"/>
      <c r="Q278" s="39"/>
      <c r="R278" s="38" t="s">
        <v>548</v>
      </c>
      <c r="S278" s="39"/>
      <c r="T278" s="39"/>
      <c r="U278" s="39"/>
      <c r="V278" s="39"/>
      <c r="W278" s="39"/>
      <c r="X278" s="39"/>
      <c r="Y278" s="39"/>
    </row>
    <row r="279">
      <c r="A279" s="36">
        <v>45887.43782614583</v>
      </c>
      <c r="B279" s="37" t="str">
        <f t="shared" si="34"/>
        <v>Phil Greenwald/Carrie GreenQ1: June 2025 - August 2025OKR 3</v>
      </c>
      <c r="C279" s="38" t="s">
        <v>464</v>
      </c>
      <c r="D279" s="38" t="s">
        <v>546</v>
      </c>
      <c r="E279" s="38" t="s">
        <v>518</v>
      </c>
      <c r="F279" s="38" t="s">
        <v>466</v>
      </c>
      <c r="G279" s="39"/>
      <c r="H279" s="38" t="s">
        <v>520</v>
      </c>
      <c r="I279" s="39"/>
      <c r="J279" s="38" t="s">
        <v>521</v>
      </c>
      <c r="K279" s="38">
        <v>60.0</v>
      </c>
      <c r="L279" s="38">
        <v>50.0</v>
      </c>
      <c r="M279" s="39"/>
      <c r="N279" s="39"/>
      <c r="O279" s="39"/>
      <c r="P279" s="39"/>
      <c r="Q279" s="39"/>
      <c r="R279" s="38" t="s">
        <v>549</v>
      </c>
      <c r="S279" s="39"/>
      <c r="T279" s="39"/>
      <c r="U279" s="39"/>
      <c r="V279" s="39"/>
      <c r="W279" s="39"/>
      <c r="X279" s="39"/>
      <c r="Y279" s="39"/>
    </row>
    <row r="280">
      <c r="A280" s="36">
        <v>45887.464940729165</v>
      </c>
      <c r="B280" s="37" t="str">
        <f t="shared" si="34"/>
        <v>Chris CanaryQ1: June 2025 - August 2025OKR 7</v>
      </c>
      <c r="C280" s="38" t="s">
        <v>142</v>
      </c>
      <c r="D280" s="38" t="s">
        <v>550</v>
      </c>
      <c r="E280" s="38" t="s">
        <v>518</v>
      </c>
      <c r="F280" s="38" t="s">
        <v>89</v>
      </c>
      <c r="G280" s="38" t="s">
        <v>551</v>
      </c>
      <c r="H280" s="38" t="s">
        <v>520</v>
      </c>
      <c r="I280" s="39"/>
      <c r="J280" s="38" t="s">
        <v>552</v>
      </c>
      <c r="K280" s="38">
        <v>60.0</v>
      </c>
      <c r="L280" s="39"/>
      <c r="M280" s="39"/>
      <c r="N280" s="39"/>
      <c r="O280" s="39"/>
      <c r="P280" s="39"/>
      <c r="Q280" s="39"/>
      <c r="R280" s="38" t="s">
        <v>553</v>
      </c>
      <c r="S280" s="39"/>
      <c r="T280" s="39"/>
      <c r="U280" s="39"/>
      <c r="V280" s="39"/>
      <c r="W280" s="39"/>
      <c r="X280" s="39"/>
      <c r="Y280" s="39"/>
    </row>
    <row r="281">
      <c r="A281" s="36">
        <v>45887.534879768515</v>
      </c>
      <c r="B281" s="37" t="str">
        <f t="shared" si="34"/>
        <v>Glenne' WhisenhuntQ1: June 2025 - August 2025OKR 1</v>
      </c>
      <c r="C281" s="38" t="s">
        <v>235</v>
      </c>
      <c r="D281" s="38" t="s">
        <v>266</v>
      </c>
      <c r="E281" s="38" t="s">
        <v>518</v>
      </c>
      <c r="F281" s="38" t="s">
        <v>241</v>
      </c>
      <c r="G281" s="38" t="s">
        <v>554</v>
      </c>
      <c r="H281" s="38" t="s">
        <v>520</v>
      </c>
      <c r="I281" s="39"/>
      <c r="J281" s="38" t="s">
        <v>526</v>
      </c>
      <c r="K281" s="38">
        <v>50.0</v>
      </c>
      <c r="L281" s="39"/>
      <c r="M281" s="39"/>
      <c r="N281" s="39"/>
      <c r="O281" s="39"/>
      <c r="P281" s="39"/>
      <c r="Q281" s="39"/>
      <c r="R281" s="38" t="s">
        <v>555</v>
      </c>
      <c r="S281" s="39"/>
      <c r="T281" s="39"/>
      <c r="U281" s="39"/>
      <c r="V281" s="39"/>
      <c r="W281" s="39"/>
      <c r="X281" s="39"/>
      <c r="Y281" s="39"/>
    </row>
    <row r="282">
      <c r="A282" s="36">
        <v>45887.58336266204</v>
      </c>
      <c r="B282" s="37" t="str">
        <f t="shared" si="34"/>
        <v>Brad KendallQ1: June 2025 - August 2025OKR 7</v>
      </c>
      <c r="C282" s="38" t="s">
        <v>114</v>
      </c>
      <c r="D282" s="38" t="s">
        <v>111</v>
      </c>
      <c r="E282" s="38" t="s">
        <v>518</v>
      </c>
      <c r="F282" s="38" t="s">
        <v>115</v>
      </c>
      <c r="G282" s="39"/>
      <c r="H282" s="38" t="s">
        <v>520</v>
      </c>
      <c r="I282" s="39"/>
      <c r="J282" s="38" t="s">
        <v>552</v>
      </c>
      <c r="K282" s="38">
        <v>100.0</v>
      </c>
      <c r="L282" s="38">
        <v>0.0</v>
      </c>
      <c r="M282" s="39"/>
      <c r="N282" s="39"/>
      <c r="O282" s="39"/>
      <c r="P282" s="39"/>
      <c r="Q282" s="39"/>
      <c r="R282" s="38" t="s">
        <v>556</v>
      </c>
      <c r="S282" s="39"/>
      <c r="T282" s="39"/>
      <c r="U282" s="39"/>
      <c r="V282" s="39"/>
      <c r="W282" s="39"/>
      <c r="X282" s="39"/>
      <c r="Y282" s="39"/>
    </row>
    <row r="283">
      <c r="A283" s="36">
        <v>45887.585870324074</v>
      </c>
      <c r="B283" s="37" t="str">
        <f t="shared" si="34"/>
        <v>Brad KendallQ1: June 2025 - August 2025OKR 2</v>
      </c>
      <c r="C283" s="38" t="s">
        <v>114</v>
      </c>
      <c r="D283" s="38" t="s">
        <v>111</v>
      </c>
      <c r="E283" s="38" t="s">
        <v>518</v>
      </c>
      <c r="F283" s="38" t="s">
        <v>115</v>
      </c>
      <c r="G283" s="39"/>
      <c r="H283" s="38" t="s">
        <v>520</v>
      </c>
      <c r="I283" s="39"/>
      <c r="J283" s="38" t="s">
        <v>529</v>
      </c>
      <c r="K283" s="38">
        <v>75.0</v>
      </c>
      <c r="L283" s="38">
        <v>50.0</v>
      </c>
      <c r="M283" s="39"/>
      <c r="N283" s="39"/>
      <c r="O283" s="39"/>
      <c r="P283" s="39"/>
      <c r="Q283" s="39"/>
      <c r="R283" s="38" t="s">
        <v>557</v>
      </c>
      <c r="S283" s="39"/>
      <c r="T283" s="39"/>
      <c r="U283" s="39"/>
      <c r="V283" s="39"/>
      <c r="W283" s="39"/>
      <c r="X283" s="39"/>
      <c r="Y283" s="39"/>
    </row>
    <row r="284">
      <c r="A284" s="36">
        <v>45887.5875459838</v>
      </c>
      <c r="B284" s="37" t="str">
        <f t="shared" si="34"/>
        <v>Brad KendallQ1: June 2025 - August 2025OKR 3</v>
      </c>
      <c r="C284" s="38" t="s">
        <v>114</v>
      </c>
      <c r="D284" s="38" t="s">
        <v>111</v>
      </c>
      <c r="E284" s="38" t="s">
        <v>518</v>
      </c>
      <c r="F284" s="38" t="s">
        <v>115</v>
      </c>
      <c r="G284" s="39"/>
      <c r="H284" s="38" t="s">
        <v>520</v>
      </c>
      <c r="I284" s="39"/>
      <c r="J284" s="38" t="s">
        <v>521</v>
      </c>
      <c r="K284" s="38">
        <v>100.0</v>
      </c>
      <c r="L284" s="38">
        <v>75.0</v>
      </c>
      <c r="M284" s="39"/>
      <c r="N284" s="39"/>
      <c r="O284" s="39"/>
      <c r="P284" s="39"/>
      <c r="Q284" s="39"/>
      <c r="R284" s="38" t="s">
        <v>558</v>
      </c>
      <c r="S284" s="39"/>
      <c r="T284" s="39"/>
      <c r="U284" s="39"/>
      <c r="V284" s="39"/>
      <c r="W284" s="39"/>
      <c r="X284" s="39"/>
      <c r="Y284" s="39"/>
    </row>
    <row r="285">
      <c r="A285" s="36">
        <v>45887.594375347224</v>
      </c>
      <c r="B285" s="37" t="str">
        <f t="shared" si="34"/>
        <v>Morgan ThompsonQ1: June 2025 - August 2025OKR 1</v>
      </c>
      <c r="C285" s="38" t="s">
        <v>448</v>
      </c>
      <c r="D285" s="38" t="s">
        <v>449</v>
      </c>
      <c r="E285" s="38" t="s">
        <v>518</v>
      </c>
      <c r="F285" s="38" t="s">
        <v>170</v>
      </c>
      <c r="G285" s="39"/>
      <c r="H285" s="38" t="s">
        <v>559</v>
      </c>
      <c r="I285" s="39"/>
      <c r="J285" s="38" t="s">
        <v>526</v>
      </c>
      <c r="K285" s="38">
        <v>100.0</v>
      </c>
      <c r="L285" s="38">
        <v>85.0</v>
      </c>
      <c r="M285" s="39"/>
      <c r="N285" s="39"/>
      <c r="O285" s="39"/>
      <c r="P285" s="39"/>
      <c r="Q285" s="39"/>
      <c r="R285" s="38" t="s">
        <v>560</v>
      </c>
      <c r="S285" s="39"/>
      <c r="T285" s="39"/>
      <c r="U285" s="39"/>
      <c r="V285" s="39"/>
      <c r="W285" s="39"/>
      <c r="X285" s="39"/>
      <c r="Y285" s="39"/>
    </row>
    <row r="286">
      <c r="A286" s="36">
        <v>45887.59501304398</v>
      </c>
      <c r="B286" s="37" t="str">
        <f t="shared" si="34"/>
        <v>Morgan ThompsonQ1: June 2025 - August 2025OKR 2</v>
      </c>
      <c r="C286" s="38" t="s">
        <v>448</v>
      </c>
      <c r="D286" s="38" t="s">
        <v>449</v>
      </c>
      <c r="E286" s="38" t="s">
        <v>518</v>
      </c>
      <c r="F286" s="38" t="s">
        <v>170</v>
      </c>
      <c r="G286" s="39"/>
      <c r="H286" s="38" t="s">
        <v>559</v>
      </c>
      <c r="I286" s="39"/>
      <c r="J286" s="38" t="s">
        <v>529</v>
      </c>
      <c r="K286" s="38">
        <v>70.0</v>
      </c>
      <c r="L286" s="38">
        <v>85.0</v>
      </c>
      <c r="M286" s="39"/>
      <c r="N286" s="39"/>
      <c r="O286" s="39"/>
      <c r="P286" s="39"/>
      <c r="Q286" s="39"/>
      <c r="R286" s="38" t="s">
        <v>561</v>
      </c>
      <c r="S286" s="39"/>
      <c r="T286" s="39"/>
      <c r="U286" s="39"/>
      <c r="V286" s="39"/>
      <c r="W286" s="39"/>
      <c r="X286" s="39"/>
      <c r="Y286" s="39"/>
    </row>
    <row r="287">
      <c r="A287" s="36">
        <v>45887.63418303241</v>
      </c>
      <c r="B287" s="37" t="str">
        <f t="shared" si="34"/>
        <v>Kellly Riesenmy, PhDQ1: June 2025 - August 2025OKR 1</v>
      </c>
      <c r="C287" s="38" t="s">
        <v>562</v>
      </c>
      <c r="D287" s="38" t="s">
        <v>563</v>
      </c>
      <c r="E287" s="38" t="s">
        <v>518</v>
      </c>
      <c r="F287" s="38" t="s">
        <v>564</v>
      </c>
      <c r="G287" s="38" t="s">
        <v>514</v>
      </c>
      <c r="H287" s="38" t="s">
        <v>564</v>
      </c>
      <c r="I287" s="39"/>
      <c r="J287" s="38" t="s">
        <v>526</v>
      </c>
      <c r="K287" s="38">
        <v>100.0</v>
      </c>
      <c r="L287" s="38">
        <v>100.0</v>
      </c>
      <c r="M287" s="39"/>
      <c r="N287" s="39"/>
      <c r="O287" s="39"/>
      <c r="P287" s="39"/>
      <c r="Q287" s="39"/>
      <c r="R287" s="38" t="s">
        <v>565</v>
      </c>
      <c r="S287" s="39"/>
      <c r="T287" s="39"/>
      <c r="U287" s="39"/>
      <c r="V287" s="39"/>
      <c r="W287" s="39"/>
      <c r="X287" s="39"/>
      <c r="Y287" s="39"/>
    </row>
    <row r="288">
      <c r="A288" s="36">
        <v>45887.651444930554</v>
      </c>
      <c r="B288" s="37" t="str">
        <f t="shared" si="34"/>
        <v>Grace GandyQ1: June 2025 - August 2025OKR 1</v>
      </c>
      <c r="C288" s="38" t="s">
        <v>272</v>
      </c>
      <c r="D288" s="38" t="s">
        <v>273</v>
      </c>
      <c r="E288" s="38" t="s">
        <v>518</v>
      </c>
      <c r="F288" s="38" t="s">
        <v>89</v>
      </c>
      <c r="G288" s="38" t="s">
        <v>566</v>
      </c>
      <c r="H288" s="38" t="s">
        <v>520</v>
      </c>
      <c r="I288" s="39"/>
      <c r="J288" s="38" t="s">
        <v>526</v>
      </c>
      <c r="K288" s="38">
        <v>90.0</v>
      </c>
      <c r="L288" s="38">
        <v>70.0</v>
      </c>
      <c r="M288" s="39"/>
      <c r="N288" s="39"/>
      <c r="O288" s="39"/>
      <c r="P288" s="39"/>
      <c r="Q288" s="39"/>
      <c r="R288" s="38" t="s">
        <v>567</v>
      </c>
      <c r="S288" s="39"/>
      <c r="T288" s="39"/>
      <c r="U288" s="39"/>
      <c r="V288" s="39"/>
      <c r="W288" s="39"/>
      <c r="X288" s="39"/>
      <c r="Y288" s="39"/>
    </row>
    <row r="289">
      <c r="A289" s="36">
        <v>45887.65779344908</v>
      </c>
      <c r="B289" s="37" t="str">
        <f t="shared" si="34"/>
        <v>Rebecca EnrightQ1: June 2025 - August 2025OKR 2</v>
      </c>
      <c r="C289" s="38" t="s">
        <v>135</v>
      </c>
      <c r="D289" s="38" t="s">
        <v>568</v>
      </c>
      <c r="E289" s="38" t="s">
        <v>518</v>
      </c>
      <c r="F289" s="38" t="s">
        <v>137</v>
      </c>
      <c r="G289" s="38" t="s">
        <v>514</v>
      </c>
      <c r="H289" s="38" t="s">
        <v>520</v>
      </c>
      <c r="I289" s="39"/>
      <c r="J289" s="38" t="s">
        <v>529</v>
      </c>
      <c r="K289" s="38">
        <v>23.5</v>
      </c>
      <c r="L289" s="39"/>
      <c r="M289" s="39"/>
      <c r="N289" s="39"/>
      <c r="O289" s="39"/>
      <c r="P289" s="39"/>
      <c r="Q289" s="39"/>
      <c r="R289" s="38" t="s">
        <v>569</v>
      </c>
      <c r="S289" s="39"/>
      <c r="T289" s="39"/>
      <c r="U289" s="39"/>
      <c r="V289" s="39"/>
      <c r="W289" s="39"/>
      <c r="X289" s="39"/>
      <c r="Y289" s="39"/>
    </row>
    <row r="290">
      <c r="A290" s="36">
        <v>45887.670805127316</v>
      </c>
      <c r="B290" s="37" t="str">
        <f t="shared" si="34"/>
        <v>Jarrod BowmanQ1: June 2025 - August 2025OKR 1</v>
      </c>
      <c r="C290" s="38" t="s">
        <v>298</v>
      </c>
      <c r="D290" s="38" t="s">
        <v>299</v>
      </c>
      <c r="E290" s="38" t="s">
        <v>518</v>
      </c>
      <c r="F290" s="38" t="s">
        <v>300</v>
      </c>
      <c r="G290" s="38" t="s">
        <v>570</v>
      </c>
      <c r="H290" s="38" t="s">
        <v>520</v>
      </c>
      <c r="I290" s="39"/>
      <c r="J290" s="38" t="s">
        <v>526</v>
      </c>
      <c r="K290" s="38">
        <v>25.0</v>
      </c>
      <c r="L290" s="38">
        <v>85.0</v>
      </c>
      <c r="M290" s="38">
        <v>60.0</v>
      </c>
      <c r="N290" s="39"/>
      <c r="O290" s="39"/>
      <c r="P290" s="39"/>
      <c r="Q290" s="39"/>
      <c r="R290" s="38" t="s">
        <v>571</v>
      </c>
      <c r="S290" s="39"/>
      <c r="T290" s="39"/>
      <c r="U290" s="39"/>
      <c r="V290" s="39"/>
      <c r="W290" s="39"/>
      <c r="X290" s="39"/>
      <c r="Y290" s="39"/>
    </row>
    <row r="291">
      <c r="A291" s="36">
        <v>45887.67558347222</v>
      </c>
      <c r="B291" s="37" t="str">
        <f t="shared" si="34"/>
        <v>Blake CarlsonQ1: June 2025 - August 2025OKR 2</v>
      </c>
      <c r="C291" s="38" t="s">
        <v>87</v>
      </c>
      <c r="D291" s="38" t="s">
        <v>88</v>
      </c>
      <c r="E291" s="38" t="s">
        <v>518</v>
      </c>
      <c r="F291" s="38" t="s">
        <v>89</v>
      </c>
      <c r="G291" s="38" t="s">
        <v>572</v>
      </c>
      <c r="H291" s="38" t="s">
        <v>520</v>
      </c>
      <c r="I291" s="39"/>
      <c r="J291" s="38" t="s">
        <v>529</v>
      </c>
      <c r="K291" s="38">
        <v>100.0</v>
      </c>
      <c r="L291" s="38">
        <v>20.0</v>
      </c>
      <c r="M291" s="39"/>
      <c r="N291" s="39"/>
      <c r="O291" s="39"/>
      <c r="P291" s="39"/>
      <c r="Q291" s="39"/>
      <c r="R291" s="38" t="s">
        <v>573</v>
      </c>
      <c r="S291" s="39"/>
      <c r="T291" s="39"/>
      <c r="U291" s="39"/>
      <c r="V291" s="39"/>
      <c r="W291" s="39"/>
      <c r="X291" s="39"/>
      <c r="Y291" s="39"/>
    </row>
    <row r="292">
      <c r="A292" s="36">
        <v>45887.68935141204</v>
      </c>
      <c r="B292" s="37" t="str">
        <f t="shared" si="34"/>
        <v>Chris CanaryQ1: June 2025 - August 2025OKR 6</v>
      </c>
      <c r="C292" s="38" t="s">
        <v>142</v>
      </c>
      <c r="D292" s="38" t="s">
        <v>550</v>
      </c>
      <c r="E292" s="38" t="s">
        <v>518</v>
      </c>
      <c r="F292" s="38" t="s">
        <v>89</v>
      </c>
      <c r="G292" s="38" t="s">
        <v>551</v>
      </c>
      <c r="H292" s="38" t="s">
        <v>300</v>
      </c>
      <c r="I292" s="39"/>
      <c r="J292" s="38" t="s">
        <v>574</v>
      </c>
      <c r="K292" s="38">
        <v>95.0</v>
      </c>
      <c r="L292" s="38">
        <v>70.0</v>
      </c>
      <c r="M292" s="39"/>
      <c r="N292" s="39"/>
      <c r="O292" s="39"/>
      <c r="P292" s="39"/>
      <c r="Q292" s="39"/>
      <c r="R292" s="38" t="s">
        <v>575</v>
      </c>
      <c r="S292" s="39"/>
      <c r="T292" s="39"/>
      <c r="U292" s="39"/>
      <c r="V292" s="39"/>
      <c r="W292" s="39"/>
      <c r="X292" s="39"/>
      <c r="Y292" s="39"/>
    </row>
    <row r="293">
      <c r="A293" s="36">
        <v>45887.69280452546</v>
      </c>
      <c r="B293" s="37" t="str">
        <f t="shared" si="34"/>
        <v>Marsha KendrickQ1: June 2025 - August 2025OKR 1</v>
      </c>
      <c r="C293" s="38" t="s">
        <v>412</v>
      </c>
      <c r="D293" s="38" t="s">
        <v>413</v>
      </c>
      <c r="E293" s="38" t="s">
        <v>518</v>
      </c>
      <c r="F293" s="38" t="s">
        <v>414</v>
      </c>
      <c r="G293" s="38" t="s">
        <v>514</v>
      </c>
      <c r="H293" s="38" t="s">
        <v>520</v>
      </c>
      <c r="I293" s="39"/>
      <c r="J293" s="38" t="s">
        <v>526</v>
      </c>
      <c r="K293" s="38">
        <v>50.0</v>
      </c>
      <c r="L293" s="39"/>
      <c r="M293" s="39"/>
      <c r="N293" s="39"/>
      <c r="O293" s="39"/>
      <c r="P293" s="39"/>
      <c r="Q293" s="39"/>
      <c r="R293" s="38" t="s">
        <v>576</v>
      </c>
      <c r="S293" s="39"/>
      <c r="T293" s="39"/>
      <c r="U293" s="39"/>
      <c r="V293" s="39"/>
      <c r="W293" s="39"/>
      <c r="X293" s="39"/>
      <c r="Y293" s="39"/>
    </row>
    <row r="294">
      <c r="A294" s="36">
        <v>45887.69642248843</v>
      </c>
      <c r="B294" s="37" t="str">
        <f t="shared" si="34"/>
        <v>Morgan ThompsonQ1: June 2025 - August 2025OKR 3</v>
      </c>
      <c r="C294" s="38" t="s">
        <v>448</v>
      </c>
      <c r="D294" s="38" t="s">
        <v>449</v>
      </c>
      <c r="E294" s="38" t="s">
        <v>518</v>
      </c>
      <c r="F294" s="38" t="s">
        <v>170</v>
      </c>
      <c r="G294" s="39"/>
      <c r="H294" s="38" t="s">
        <v>520</v>
      </c>
      <c r="I294" s="39"/>
      <c r="J294" s="38" t="s">
        <v>521</v>
      </c>
      <c r="K294" s="38">
        <v>50.0</v>
      </c>
      <c r="L294" s="38">
        <v>70.0</v>
      </c>
      <c r="M294" s="38">
        <v>60.0</v>
      </c>
      <c r="N294" s="38">
        <v>30.0</v>
      </c>
      <c r="O294" s="39"/>
      <c r="P294" s="39"/>
      <c r="Q294" s="39"/>
      <c r="R294" s="38" t="s">
        <v>577</v>
      </c>
      <c r="S294" s="39"/>
      <c r="T294" s="39"/>
      <c r="U294" s="39"/>
      <c r="V294" s="39"/>
      <c r="W294" s="39"/>
      <c r="X294" s="39"/>
      <c r="Y294" s="39"/>
    </row>
    <row r="295">
      <c r="A295" s="36">
        <v>45887.69693125</v>
      </c>
      <c r="B295" s="37" t="str">
        <f t="shared" si="34"/>
        <v>Garret CastleberryQ1: June 2025 - August 2025OKR 1</v>
      </c>
      <c r="C295" s="38" t="s">
        <v>244</v>
      </c>
      <c r="D295" s="38" t="s">
        <v>245</v>
      </c>
      <c r="E295" s="38" t="s">
        <v>518</v>
      </c>
      <c r="F295" s="38" t="s">
        <v>246</v>
      </c>
      <c r="G295" s="39"/>
      <c r="H295" s="38" t="s">
        <v>520</v>
      </c>
      <c r="I295" s="39"/>
      <c r="J295" s="38" t="s">
        <v>526</v>
      </c>
      <c r="K295" s="38">
        <v>30.0</v>
      </c>
      <c r="L295" s="39"/>
      <c r="M295" s="39"/>
      <c r="N295" s="39"/>
      <c r="O295" s="39"/>
      <c r="P295" s="39"/>
      <c r="Q295" s="39"/>
      <c r="R295" s="38" t="s">
        <v>578</v>
      </c>
      <c r="S295" s="39"/>
      <c r="T295" s="39"/>
      <c r="U295" s="39"/>
      <c r="V295" s="39"/>
      <c r="W295" s="39"/>
      <c r="X295" s="39"/>
      <c r="Y295" s="39"/>
    </row>
    <row r="296">
      <c r="A296" s="36">
        <v>45887.69932212963</v>
      </c>
      <c r="B296" s="37" t="str">
        <f t="shared" si="34"/>
        <v>Garret CastleberryQ1: June 2025 - August 2025OKR 2</v>
      </c>
      <c r="C296" s="38" t="s">
        <v>244</v>
      </c>
      <c r="D296" s="38" t="s">
        <v>245</v>
      </c>
      <c r="E296" s="38" t="s">
        <v>518</v>
      </c>
      <c r="F296" s="38" t="s">
        <v>246</v>
      </c>
      <c r="G296" s="39"/>
      <c r="H296" s="38" t="s">
        <v>579</v>
      </c>
      <c r="I296" s="39"/>
      <c r="J296" s="38" t="s">
        <v>529</v>
      </c>
      <c r="K296" s="38">
        <v>15.0</v>
      </c>
      <c r="L296" s="39"/>
      <c r="M296" s="39"/>
      <c r="N296" s="39"/>
      <c r="O296" s="39"/>
      <c r="P296" s="39"/>
      <c r="Q296" s="39"/>
      <c r="R296" s="38" t="s">
        <v>580</v>
      </c>
      <c r="S296" s="39"/>
      <c r="T296" s="39"/>
      <c r="U296" s="39"/>
      <c r="V296" s="39"/>
      <c r="W296" s="39"/>
      <c r="X296" s="39"/>
      <c r="Y296" s="39"/>
    </row>
    <row r="297">
      <c r="A297" s="36">
        <v>45887.6995831713</v>
      </c>
      <c r="B297" s="37" t="str">
        <f t="shared" si="34"/>
        <v>Michael FooteQ1: June 2025 - August 2025OKR 1</v>
      </c>
      <c r="C297" s="38" t="s">
        <v>426</v>
      </c>
      <c r="D297" s="38" t="s">
        <v>427</v>
      </c>
      <c r="E297" s="38" t="s">
        <v>518</v>
      </c>
      <c r="F297" s="38" t="s">
        <v>428</v>
      </c>
      <c r="G297" s="39"/>
      <c r="H297" s="38" t="s">
        <v>520</v>
      </c>
      <c r="I297" s="39"/>
      <c r="J297" s="38" t="s">
        <v>526</v>
      </c>
      <c r="K297" s="38">
        <v>100.0</v>
      </c>
      <c r="L297" s="38">
        <v>100.0</v>
      </c>
      <c r="M297" s="38">
        <v>75.0</v>
      </c>
      <c r="N297" s="39"/>
      <c r="O297" s="39"/>
      <c r="P297" s="39"/>
      <c r="Q297" s="39"/>
      <c r="R297" s="38" t="s">
        <v>581</v>
      </c>
      <c r="S297" s="39"/>
      <c r="T297" s="39"/>
      <c r="U297" s="39"/>
      <c r="V297" s="39"/>
      <c r="W297" s="39"/>
      <c r="X297" s="39"/>
      <c r="Y297" s="39"/>
    </row>
    <row r="298">
      <c r="A298" s="36">
        <v>45887.70179395833</v>
      </c>
      <c r="B298" s="37" t="str">
        <f t="shared" si="34"/>
        <v>Amanda OrsoQ1: June 2025 - August 2025OKR 1</v>
      </c>
      <c r="C298" s="38" t="s">
        <v>582</v>
      </c>
      <c r="D298" s="38" t="s">
        <v>583</v>
      </c>
      <c r="E298" s="38" t="s">
        <v>518</v>
      </c>
      <c r="F298" s="38" t="s">
        <v>300</v>
      </c>
      <c r="G298" s="39"/>
      <c r="H298" s="38" t="s">
        <v>520</v>
      </c>
      <c r="I298" s="39"/>
      <c r="J298" s="38" t="s">
        <v>526</v>
      </c>
      <c r="K298" s="38">
        <v>90.0</v>
      </c>
      <c r="L298" s="39"/>
      <c r="M298" s="39"/>
      <c r="N298" s="39"/>
      <c r="O298" s="39"/>
      <c r="P298" s="39"/>
      <c r="Q298" s="39"/>
      <c r="R298" s="38" t="s">
        <v>584</v>
      </c>
      <c r="S298" s="39"/>
      <c r="T298" s="39"/>
      <c r="U298" s="39"/>
      <c r="V298" s="39"/>
      <c r="W298" s="39"/>
      <c r="X298" s="39"/>
      <c r="Y298" s="39"/>
    </row>
    <row r="299">
      <c r="A299" s="36">
        <v>45887.70218616899</v>
      </c>
      <c r="B299" s="37" t="str">
        <f t="shared" si="34"/>
        <v>Garret CastleberryQ1: June 2025 - August 2025OKR 3</v>
      </c>
      <c r="C299" s="38" t="s">
        <v>244</v>
      </c>
      <c r="D299" s="38" t="s">
        <v>245</v>
      </c>
      <c r="E299" s="38" t="s">
        <v>518</v>
      </c>
      <c r="F299" s="38" t="s">
        <v>246</v>
      </c>
      <c r="G299" s="39"/>
      <c r="H299" s="38" t="s">
        <v>170</v>
      </c>
      <c r="I299" s="39"/>
      <c r="J299" s="38" t="s">
        <v>521</v>
      </c>
      <c r="K299" s="38">
        <v>5.0</v>
      </c>
      <c r="L299" s="39"/>
      <c r="M299" s="39"/>
      <c r="N299" s="39"/>
      <c r="O299" s="39"/>
      <c r="P299" s="39"/>
      <c r="Q299" s="39"/>
      <c r="R299" s="38" t="s">
        <v>585</v>
      </c>
      <c r="S299" s="39"/>
      <c r="T299" s="39"/>
      <c r="U299" s="39"/>
      <c r="V299" s="39"/>
      <c r="W299" s="39"/>
      <c r="X299" s="39"/>
      <c r="Y299" s="39"/>
    </row>
    <row r="300">
      <c r="A300" s="36">
        <v>45887.71569700231</v>
      </c>
      <c r="B300" s="37" t="str">
        <f t="shared" si="34"/>
        <v>Amanda HarrisQ1: June 2025 - August 2025OKR 1</v>
      </c>
      <c r="C300" s="38" t="s">
        <v>19</v>
      </c>
      <c r="D300" s="38" t="s">
        <v>20</v>
      </c>
      <c r="E300" s="38" t="s">
        <v>518</v>
      </c>
      <c r="F300" s="38" t="s">
        <v>26</v>
      </c>
      <c r="G300" s="38" t="s">
        <v>514</v>
      </c>
      <c r="H300" s="38" t="s">
        <v>520</v>
      </c>
      <c r="I300" s="39"/>
      <c r="J300" s="38" t="s">
        <v>526</v>
      </c>
      <c r="K300" s="38">
        <v>50.0</v>
      </c>
      <c r="L300" s="38">
        <v>100.0</v>
      </c>
      <c r="M300" s="39"/>
      <c r="N300" s="39"/>
      <c r="O300" s="39"/>
      <c r="P300" s="39"/>
      <c r="Q300" s="39"/>
      <c r="R300" s="38" t="s">
        <v>586</v>
      </c>
      <c r="S300" s="39"/>
      <c r="T300" s="39"/>
      <c r="U300" s="39"/>
      <c r="V300" s="39"/>
      <c r="W300" s="39"/>
      <c r="X300" s="39"/>
      <c r="Y300" s="39"/>
    </row>
    <row r="301">
      <c r="A301" s="36">
        <v>45887.9602947338</v>
      </c>
      <c r="B301" s="37" t="str">
        <f t="shared" si="34"/>
        <v>Kimberly S. ThomasQ1: June 2025 - August 2025OKR 1</v>
      </c>
      <c r="C301" s="38" t="s">
        <v>370</v>
      </c>
      <c r="D301" s="38" t="s">
        <v>587</v>
      </c>
      <c r="E301" s="38" t="s">
        <v>518</v>
      </c>
      <c r="F301" s="38" t="s">
        <v>372</v>
      </c>
      <c r="G301" s="38" t="s">
        <v>588</v>
      </c>
      <c r="H301" s="38" t="s">
        <v>579</v>
      </c>
      <c r="I301" s="39"/>
      <c r="J301" s="38" t="s">
        <v>526</v>
      </c>
      <c r="K301" s="38">
        <v>50.0</v>
      </c>
      <c r="L301" s="38">
        <v>50.0</v>
      </c>
      <c r="M301" s="38">
        <v>0.0</v>
      </c>
      <c r="N301" s="38">
        <v>0.0</v>
      </c>
      <c r="O301" s="38">
        <v>0.0</v>
      </c>
      <c r="P301" s="39"/>
      <c r="Q301" s="39"/>
      <c r="R301" s="38" t="s">
        <v>589</v>
      </c>
      <c r="S301" s="39"/>
      <c r="T301" s="39"/>
      <c r="U301" s="39"/>
      <c r="V301" s="39"/>
      <c r="W301" s="39"/>
      <c r="X301" s="39"/>
      <c r="Y301" s="39"/>
    </row>
    <row r="302">
      <c r="A302" s="36">
        <v>45889.53609111111</v>
      </c>
      <c r="B302" s="37" t="str">
        <f t="shared" si="34"/>
        <v>Carol  FowlkesQ1: June 2025 - August 2025OKR 2</v>
      </c>
      <c r="C302" s="38" t="s">
        <v>127</v>
      </c>
      <c r="D302" s="38" t="s">
        <v>590</v>
      </c>
      <c r="E302" s="38" t="s">
        <v>518</v>
      </c>
      <c r="F302" s="38" t="s">
        <v>129</v>
      </c>
      <c r="G302" s="38" t="s">
        <v>591</v>
      </c>
      <c r="H302" s="38" t="s">
        <v>520</v>
      </c>
      <c r="I302" s="39"/>
      <c r="J302" s="38" t="s">
        <v>529</v>
      </c>
      <c r="K302" s="38">
        <v>0.67</v>
      </c>
      <c r="L302" s="38">
        <v>0.25</v>
      </c>
      <c r="M302" s="38">
        <v>0.25</v>
      </c>
      <c r="N302" s="39"/>
      <c r="O302" s="39"/>
      <c r="P302" s="39"/>
      <c r="Q302" s="39"/>
      <c r="R302" s="38" t="s">
        <v>592</v>
      </c>
      <c r="S302" s="39"/>
      <c r="T302" s="39"/>
      <c r="U302" s="39"/>
      <c r="V302" s="39"/>
      <c r="W302" s="39"/>
      <c r="X302" s="39"/>
      <c r="Y302" s="39"/>
    </row>
    <row r="303">
      <c r="A303" s="36">
        <v>45889.53804671296</v>
      </c>
      <c r="B303" s="37" t="str">
        <f t="shared" si="34"/>
        <v>Carol FowlkesQ1: June 2025 - August 2025OKR 3</v>
      </c>
      <c r="C303" s="38" t="s">
        <v>127</v>
      </c>
      <c r="D303" s="38" t="s">
        <v>128</v>
      </c>
      <c r="E303" s="38" t="s">
        <v>518</v>
      </c>
      <c r="F303" s="38" t="s">
        <v>129</v>
      </c>
      <c r="G303" s="38" t="s">
        <v>591</v>
      </c>
      <c r="H303" s="38" t="s">
        <v>520</v>
      </c>
      <c r="I303" s="39"/>
      <c r="J303" s="38" t="s">
        <v>521</v>
      </c>
      <c r="K303" s="38">
        <v>1.0</v>
      </c>
      <c r="L303" s="38">
        <v>0.25</v>
      </c>
      <c r="M303" s="38">
        <v>0.25</v>
      </c>
      <c r="N303" s="39"/>
      <c r="O303" s="39"/>
      <c r="P303" s="39"/>
      <c r="Q303" s="39"/>
      <c r="R303" s="38" t="s">
        <v>593</v>
      </c>
      <c r="S303" s="39"/>
      <c r="T303" s="39"/>
      <c r="U303" s="39"/>
      <c r="V303" s="39"/>
      <c r="W303" s="39"/>
      <c r="X303" s="39"/>
      <c r="Y303" s="39"/>
    </row>
    <row r="304">
      <c r="A304" s="36">
        <v>45889.65451890047</v>
      </c>
      <c r="B304" s="37" t="str">
        <f t="shared" si="34"/>
        <v>Erica Alvarez-StantonQ1: June 2025 - August 2025OKR 1</v>
      </c>
      <c r="C304" s="38" t="s">
        <v>225</v>
      </c>
      <c r="D304" s="38" t="s">
        <v>226</v>
      </c>
      <c r="E304" s="38" t="s">
        <v>518</v>
      </c>
      <c r="F304" s="38" t="s">
        <v>227</v>
      </c>
      <c r="G304" s="38" t="s">
        <v>514</v>
      </c>
      <c r="H304" s="38" t="s">
        <v>300</v>
      </c>
      <c r="I304" s="39"/>
      <c r="J304" s="38" t="s">
        <v>526</v>
      </c>
      <c r="K304" s="38">
        <v>95.0</v>
      </c>
      <c r="L304" s="39"/>
      <c r="M304" s="39"/>
      <c r="N304" s="39"/>
      <c r="O304" s="39"/>
      <c r="P304" s="39"/>
      <c r="Q304" s="39"/>
      <c r="R304" s="38" t="s">
        <v>594</v>
      </c>
      <c r="S304" s="39"/>
      <c r="T304" s="39"/>
      <c r="U304" s="39"/>
      <c r="V304" s="39"/>
      <c r="W304" s="39"/>
      <c r="X304" s="39"/>
      <c r="Y304" s="39"/>
    </row>
    <row r="305">
      <c r="A305" s="36">
        <v>45894.57380622685</v>
      </c>
      <c r="B305" s="39"/>
      <c r="C305" s="38" t="s">
        <v>383</v>
      </c>
      <c r="D305" s="38" t="s">
        <v>384</v>
      </c>
      <c r="E305" s="38" t="s">
        <v>518</v>
      </c>
      <c r="F305" s="38" t="s">
        <v>89</v>
      </c>
      <c r="G305" s="38" t="s">
        <v>595</v>
      </c>
      <c r="H305" s="38" t="s">
        <v>89</v>
      </c>
      <c r="I305" s="39"/>
      <c r="J305" s="38" t="s">
        <v>526</v>
      </c>
      <c r="K305" s="38">
        <v>100.0</v>
      </c>
      <c r="L305" s="38">
        <v>52.0</v>
      </c>
      <c r="M305" s="39"/>
      <c r="N305" s="39"/>
      <c r="O305" s="39"/>
      <c r="P305" s="39"/>
      <c r="Q305" s="39"/>
      <c r="R305" s="38" t="s">
        <v>596</v>
      </c>
      <c r="S305" s="39"/>
      <c r="T305" s="39"/>
      <c r="U305" s="39"/>
      <c r="V305" s="39"/>
      <c r="W305" s="39"/>
      <c r="X305" s="39"/>
      <c r="Y305" s="39"/>
    </row>
    <row r="306">
      <c r="A306" s="36">
        <v>45894.60712944444</v>
      </c>
      <c r="B306" s="39"/>
      <c r="C306" s="38" t="s">
        <v>365</v>
      </c>
      <c r="D306" s="38" t="s">
        <v>366</v>
      </c>
      <c r="E306" s="38" t="s">
        <v>518</v>
      </c>
      <c r="F306" s="38" t="s">
        <v>115</v>
      </c>
      <c r="G306" s="38" t="s">
        <v>514</v>
      </c>
      <c r="H306" s="38" t="s">
        <v>520</v>
      </c>
      <c r="I306" s="39"/>
      <c r="J306" s="38" t="s">
        <v>526</v>
      </c>
      <c r="K306" s="38">
        <v>100.0</v>
      </c>
      <c r="L306" s="39"/>
      <c r="M306" s="39"/>
      <c r="N306" s="39"/>
      <c r="O306" s="39"/>
      <c r="P306" s="39"/>
      <c r="Q306" s="39"/>
      <c r="R306" s="38" t="s">
        <v>597</v>
      </c>
      <c r="S306" s="39"/>
      <c r="T306" s="39"/>
      <c r="U306" s="39"/>
      <c r="V306" s="39"/>
      <c r="W306" s="39"/>
      <c r="X306" s="39"/>
      <c r="Y306" s="39"/>
    </row>
    <row r="307">
      <c r="A307" s="36">
        <v>45896.398203125005</v>
      </c>
      <c r="B307" s="39"/>
      <c r="C307" s="38" t="s">
        <v>387</v>
      </c>
      <c r="D307" s="38" t="s">
        <v>388</v>
      </c>
      <c r="E307" s="38" t="s">
        <v>518</v>
      </c>
      <c r="F307" s="38" t="s">
        <v>277</v>
      </c>
      <c r="G307" s="39"/>
      <c r="H307" s="38" t="s">
        <v>520</v>
      </c>
      <c r="I307" s="39"/>
      <c r="J307" s="38" t="s">
        <v>526</v>
      </c>
      <c r="K307" s="38">
        <v>60.0</v>
      </c>
      <c r="L307" s="38">
        <v>35.0</v>
      </c>
      <c r="M307" s="39"/>
      <c r="N307" s="39"/>
      <c r="O307" s="39"/>
      <c r="P307" s="39"/>
      <c r="Q307" s="39"/>
      <c r="R307" s="38" t="s">
        <v>598</v>
      </c>
      <c r="S307" s="39"/>
      <c r="T307" s="39"/>
      <c r="U307" s="39"/>
      <c r="V307" s="39"/>
      <c r="W307" s="39"/>
      <c r="X307" s="39"/>
      <c r="Y307" s="39"/>
    </row>
    <row r="308">
      <c r="A308" s="36">
        <v>45896.42402943287</v>
      </c>
      <c r="B308" s="39"/>
      <c r="C308" s="38" t="s">
        <v>209</v>
      </c>
      <c r="D308" s="38" t="s">
        <v>210</v>
      </c>
      <c r="E308" s="38" t="s">
        <v>518</v>
      </c>
      <c r="F308" s="38" t="s">
        <v>599</v>
      </c>
      <c r="G308" s="39"/>
      <c r="H308" s="38" t="s">
        <v>207</v>
      </c>
      <c r="I308" s="39"/>
      <c r="J308" s="38" t="s">
        <v>526</v>
      </c>
      <c r="K308" s="38">
        <v>100.0</v>
      </c>
      <c r="L308" s="38">
        <v>100.0</v>
      </c>
      <c r="M308" s="38">
        <v>0.0</v>
      </c>
      <c r="N308" s="39"/>
      <c r="O308" s="39"/>
      <c r="P308" s="39"/>
      <c r="Q308" s="39"/>
      <c r="R308" s="38" t="s">
        <v>600</v>
      </c>
      <c r="S308" s="39"/>
      <c r="T308" s="39"/>
      <c r="U308" s="39"/>
      <c r="V308" s="39"/>
      <c r="W308" s="39"/>
      <c r="X308" s="39"/>
      <c r="Y308" s="39"/>
    </row>
    <row r="309">
      <c r="A309" s="36">
        <v>45896.423063055554</v>
      </c>
      <c r="B309" s="39"/>
      <c r="C309" s="38" t="s">
        <v>209</v>
      </c>
      <c r="D309" s="38" t="s">
        <v>210</v>
      </c>
      <c r="E309" s="38" t="s">
        <v>518</v>
      </c>
      <c r="F309" s="38" t="s">
        <v>207</v>
      </c>
      <c r="G309" s="39"/>
      <c r="H309" s="38" t="s">
        <v>520</v>
      </c>
      <c r="I309" s="39"/>
      <c r="J309" s="38" t="s">
        <v>529</v>
      </c>
      <c r="K309" s="38">
        <v>100.0</v>
      </c>
      <c r="L309" s="38">
        <v>80.0</v>
      </c>
      <c r="M309" s="39"/>
      <c r="N309" s="39"/>
      <c r="O309" s="39"/>
      <c r="P309" s="39"/>
      <c r="Q309" s="39"/>
      <c r="R309" s="38" t="s">
        <v>601</v>
      </c>
      <c r="S309" s="39"/>
      <c r="T309" s="39"/>
      <c r="U309" s="39"/>
      <c r="V309" s="39"/>
      <c r="W309" s="39"/>
      <c r="X309" s="39"/>
      <c r="Y309" s="39"/>
    </row>
    <row r="310">
      <c r="A310" s="36">
        <v>45896.42525028935</v>
      </c>
      <c r="B310" s="39"/>
      <c r="C310" s="38" t="s">
        <v>209</v>
      </c>
      <c r="D310" s="38" t="s">
        <v>210</v>
      </c>
      <c r="E310" s="38" t="s">
        <v>518</v>
      </c>
      <c r="F310" s="38" t="s">
        <v>599</v>
      </c>
      <c r="G310" s="39"/>
      <c r="H310" s="38" t="s">
        <v>520</v>
      </c>
      <c r="I310" s="39"/>
      <c r="J310" s="38" t="s">
        <v>521</v>
      </c>
      <c r="K310" s="38">
        <v>100.0</v>
      </c>
      <c r="L310" s="38">
        <v>50.0</v>
      </c>
      <c r="M310" s="39"/>
      <c r="N310" s="39"/>
      <c r="O310" s="39"/>
      <c r="P310" s="39"/>
      <c r="Q310" s="39"/>
      <c r="R310" s="38" t="s">
        <v>602</v>
      </c>
      <c r="S310" s="39"/>
      <c r="T310" s="39"/>
      <c r="U310" s="39"/>
      <c r="V310" s="39"/>
      <c r="W310" s="39"/>
      <c r="X310" s="39"/>
      <c r="Y310" s="39"/>
    </row>
    <row r="311">
      <c r="A311" s="36">
        <v>45896.61466302084</v>
      </c>
      <c r="B311" s="39"/>
      <c r="C311" s="38" t="s">
        <v>175</v>
      </c>
      <c r="D311" s="38" t="s">
        <v>176</v>
      </c>
      <c r="E311" s="38" t="s">
        <v>518</v>
      </c>
      <c r="F311" s="38" t="s">
        <v>177</v>
      </c>
      <c r="G311" s="38" t="s">
        <v>514</v>
      </c>
      <c r="H311" s="38" t="s">
        <v>520</v>
      </c>
      <c r="I311" s="39"/>
      <c r="J311" s="38" t="s">
        <v>529</v>
      </c>
      <c r="K311" s="38">
        <v>100.0</v>
      </c>
      <c r="L311" s="38">
        <v>100.0</v>
      </c>
      <c r="M311" s="39"/>
      <c r="N311" s="39"/>
      <c r="O311" s="39"/>
      <c r="P311" s="39"/>
      <c r="Q311" s="39"/>
      <c r="R311" s="38" t="s">
        <v>603</v>
      </c>
      <c r="S311" s="39"/>
      <c r="T311" s="39"/>
      <c r="U311" s="39"/>
      <c r="V311" s="39"/>
      <c r="W311" s="39"/>
      <c r="X311" s="39"/>
      <c r="Y311" s="39"/>
    </row>
    <row r="312">
      <c r="A312" s="36">
        <v>45896.61661165509</v>
      </c>
      <c r="B312" s="39"/>
      <c r="C312" s="38" t="s">
        <v>175</v>
      </c>
      <c r="D312" s="38" t="s">
        <v>176</v>
      </c>
      <c r="E312" s="38" t="s">
        <v>518</v>
      </c>
      <c r="F312" s="38" t="s">
        <v>177</v>
      </c>
      <c r="G312" s="38" t="s">
        <v>514</v>
      </c>
      <c r="H312" s="38" t="s">
        <v>520</v>
      </c>
      <c r="I312" s="39"/>
      <c r="J312" s="38" t="s">
        <v>526</v>
      </c>
      <c r="K312" s="38">
        <v>10.0</v>
      </c>
      <c r="L312" s="38">
        <v>5.0</v>
      </c>
      <c r="M312" s="38">
        <v>5.0</v>
      </c>
      <c r="N312" s="39"/>
      <c r="O312" s="39"/>
      <c r="P312" s="39"/>
      <c r="Q312" s="39"/>
      <c r="R312" s="38" t="s">
        <v>604</v>
      </c>
      <c r="S312" s="39"/>
      <c r="T312" s="39"/>
      <c r="U312" s="39"/>
      <c r="V312" s="39"/>
      <c r="W312" s="39"/>
      <c r="X312" s="39"/>
      <c r="Y312" s="39"/>
    </row>
    <row r="313">
      <c r="A313" s="36">
        <v>45896.721040335644</v>
      </c>
      <c r="B313" s="39"/>
      <c r="C313" s="38" t="s">
        <v>49</v>
      </c>
      <c r="D313" s="38" t="s">
        <v>50</v>
      </c>
      <c r="E313" s="38" t="s">
        <v>518</v>
      </c>
      <c r="F313" s="38" t="s">
        <v>605</v>
      </c>
      <c r="G313" s="38" t="s">
        <v>606</v>
      </c>
      <c r="H313" s="38" t="s">
        <v>520</v>
      </c>
      <c r="I313" s="39"/>
      <c r="J313" s="38" t="s">
        <v>526</v>
      </c>
      <c r="K313" s="38">
        <v>100.0</v>
      </c>
      <c r="L313" s="38">
        <v>100.0</v>
      </c>
      <c r="M313" s="39"/>
      <c r="N313" s="39"/>
      <c r="O313" s="39"/>
      <c r="P313" s="39"/>
      <c r="Q313" s="39"/>
      <c r="R313" s="38" t="s">
        <v>607</v>
      </c>
      <c r="S313" s="39"/>
      <c r="T313" s="39"/>
      <c r="U313" s="39"/>
      <c r="V313" s="39"/>
      <c r="W313" s="39"/>
      <c r="X313" s="39"/>
      <c r="Y313" s="39"/>
    </row>
    <row r="314">
      <c r="A314" s="36">
        <v>45896.73233990741</v>
      </c>
      <c r="B314" s="39"/>
      <c r="C314" s="38" t="s">
        <v>49</v>
      </c>
      <c r="D314" s="38" t="s">
        <v>50</v>
      </c>
      <c r="E314" s="38" t="s">
        <v>518</v>
      </c>
      <c r="F314" s="38" t="s">
        <v>605</v>
      </c>
      <c r="G314" s="38" t="s">
        <v>608</v>
      </c>
      <c r="H314" s="38" t="s">
        <v>89</v>
      </c>
      <c r="I314" s="39"/>
      <c r="J314" s="38" t="s">
        <v>529</v>
      </c>
      <c r="K314" s="38">
        <v>70.0</v>
      </c>
      <c r="L314" s="39"/>
      <c r="M314" s="39"/>
      <c r="N314" s="39"/>
      <c r="O314" s="39"/>
      <c r="P314" s="39"/>
      <c r="Q314" s="39"/>
      <c r="R314" s="38" t="s">
        <v>609</v>
      </c>
      <c r="S314" s="39"/>
      <c r="T314" s="39"/>
      <c r="U314" s="39"/>
      <c r="V314" s="39"/>
      <c r="W314" s="39"/>
      <c r="X314" s="39"/>
      <c r="Y314" s="39"/>
    </row>
    <row r="315">
      <c r="A315" s="36">
        <v>45896.73451677083</v>
      </c>
      <c r="B315" s="39"/>
      <c r="C315" s="38" t="s">
        <v>49</v>
      </c>
      <c r="D315" s="38" t="s">
        <v>50</v>
      </c>
      <c r="E315" s="38" t="s">
        <v>518</v>
      </c>
      <c r="F315" s="38" t="s">
        <v>605</v>
      </c>
      <c r="G315" s="38" t="s">
        <v>514</v>
      </c>
      <c r="H315" s="38" t="s">
        <v>520</v>
      </c>
      <c r="I315" s="39"/>
      <c r="J315" s="38" t="s">
        <v>529</v>
      </c>
      <c r="K315" s="38">
        <v>100.0</v>
      </c>
      <c r="L315" s="39"/>
      <c r="M315" s="39"/>
      <c r="N315" s="39"/>
      <c r="O315" s="39"/>
      <c r="P315" s="39"/>
      <c r="Q315" s="39"/>
      <c r="R315" s="38" t="s">
        <v>610</v>
      </c>
      <c r="S315" s="39"/>
      <c r="T315" s="39"/>
      <c r="U315" s="39"/>
      <c r="V315" s="39"/>
      <c r="W315" s="39"/>
      <c r="X315" s="39"/>
      <c r="Y315" s="39"/>
    </row>
    <row r="316">
      <c r="A316" s="36">
        <v>45896.739739259254</v>
      </c>
      <c r="B316" s="39"/>
      <c r="C316" s="38" t="s">
        <v>49</v>
      </c>
      <c r="D316" s="38" t="s">
        <v>50</v>
      </c>
      <c r="E316" s="38" t="s">
        <v>518</v>
      </c>
      <c r="F316" s="38" t="s">
        <v>605</v>
      </c>
      <c r="G316" s="38" t="s">
        <v>611</v>
      </c>
      <c r="H316" s="38" t="s">
        <v>520</v>
      </c>
      <c r="I316" s="39"/>
      <c r="J316" s="38" t="s">
        <v>521</v>
      </c>
      <c r="K316" s="38">
        <v>100.0</v>
      </c>
      <c r="L316" s="39"/>
      <c r="M316" s="39"/>
      <c r="N316" s="39"/>
      <c r="O316" s="39"/>
      <c r="P316" s="39"/>
      <c r="Q316" s="39"/>
      <c r="R316" s="38" t="s">
        <v>612</v>
      </c>
      <c r="S316" s="39"/>
      <c r="T316" s="39"/>
      <c r="U316" s="39"/>
      <c r="V316" s="39"/>
      <c r="W316" s="39"/>
      <c r="X316" s="39"/>
      <c r="Y316" s="39"/>
    </row>
    <row r="317">
      <c r="A317" s="36">
        <v>45898.56469046296</v>
      </c>
      <c r="B317" s="39"/>
      <c r="C317" s="38" t="s">
        <v>142</v>
      </c>
      <c r="D317" s="38" t="s">
        <v>550</v>
      </c>
      <c r="E317" s="38" t="s">
        <v>518</v>
      </c>
      <c r="F317" s="38" t="s">
        <v>89</v>
      </c>
      <c r="G317" s="38" t="s">
        <v>551</v>
      </c>
      <c r="H317" s="38" t="s">
        <v>520</v>
      </c>
      <c r="I317" s="39"/>
      <c r="J317" s="38" t="s">
        <v>552</v>
      </c>
      <c r="K317" s="38">
        <v>100.0</v>
      </c>
      <c r="L317" s="39"/>
      <c r="M317" s="39"/>
      <c r="N317" s="39"/>
      <c r="O317" s="39"/>
      <c r="P317" s="39"/>
      <c r="Q317" s="39"/>
      <c r="R317" s="38" t="s">
        <v>613</v>
      </c>
      <c r="S317" s="39"/>
      <c r="T317" s="39"/>
      <c r="U317" s="39"/>
      <c r="V317" s="39"/>
      <c r="W317" s="39"/>
      <c r="X317" s="39"/>
      <c r="Y317" s="39"/>
    </row>
    <row r="318">
      <c r="A318" s="36">
        <v>45902.60290957176</v>
      </c>
      <c r="B318" s="39"/>
      <c r="C318" s="38" t="s">
        <v>193</v>
      </c>
      <c r="D318" s="38" t="s">
        <v>194</v>
      </c>
      <c r="E318" s="38" t="s">
        <v>518</v>
      </c>
      <c r="F318" s="38" t="s">
        <v>195</v>
      </c>
      <c r="G318" s="38" t="s">
        <v>536</v>
      </c>
      <c r="H318" s="38" t="s">
        <v>200</v>
      </c>
      <c r="I318" s="39"/>
      <c r="J318" s="38" t="s">
        <v>529</v>
      </c>
      <c r="K318" s="38">
        <v>100.0</v>
      </c>
      <c r="L318" s="38">
        <v>100.0</v>
      </c>
      <c r="M318" s="39"/>
      <c r="N318" s="39"/>
      <c r="O318" s="39"/>
      <c r="P318" s="39"/>
      <c r="Q318" s="39"/>
      <c r="R318" s="38" t="s">
        <v>614</v>
      </c>
      <c r="S318" s="39"/>
      <c r="T318" s="39"/>
      <c r="U318" s="39"/>
      <c r="V318" s="39"/>
      <c r="W318" s="39"/>
      <c r="X318" s="39"/>
      <c r="Y318" s="39"/>
    </row>
    <row r="319" hidden="1">
      <c r="A319" s="11" t="s">
        <v>615</v>
      </c>
      <c r="B319" s="10" t="str">
        <f t="shared" ref="B319:B320" si="35">CONCATENATE(D319,E319,J319,I319)</f>
        <v>DR L R DeSecottierQ3: December 2024 - February 20252ND2.C</v>
      </c>
      <c r="C319" s="11" t="s">
        <v>616</v>
      </c>
      <c r="D319" s="11" t="s">
        <v>617</v>
      </c>
      <c r="E319" s="11" t="s">
        <v>40</v>
      </c>
      <c r="F319" s="40" t="s">
        <v>241</v>
      </c>
      <c r="G319" s="41" t="s">
        <v>618</v>
      </c>
      <c r="H319" s="9"/>
      <c r="I319" s="11" t="s">
        <v>27</v>
      </c>
      <c r="J319" s="11" t="s">
        <v>28</v>
      </c>
      <c r="K319" s="13">
        <v>0.0</v>
      </c>
      <c r="L319" s="14"/>
      <c r="M319" s="14"/>
      <c r="N319" s="14"/>
      <c r="O319" s="14"/>
      <c r="P319" s="14"/>
      <c r="Q319" s="42">
        <f>AVERAGE(K319:P319)/100</f>
        <v>0</v>
      </c>
      <c r="R319" s="11" t="s">
        <v>619</v>
      </c>
      <c r="S319" s="9"/>
      <c r="T319" s="9"/>
      <c r="U319" s="9"/>
      <c r="V319" s="9"/>
      <c r="W319" s="9"/>
      <c r="X319" s="9"/>
      <c r="Y319" s="9"/>
    </row>
    <row r="320" hidden="1">
      <c r="A320" s="11" t="s">
        <v>615</v>
      </c>
      <c r="B320" s="9" t="str">
        <f t="shared" si="35"/>
        <v>Christie smithQ1: June 2024 - August 20241ST2.C, 3.C</v>
      </c>
      <c r="C320" s="9"/>
      <c r="D320" s="11" t="s">
        <v>620</v>
      </c>
      <c r="E320" s="11" t="s">
        <v>21</v>
      </c>
      <c r="F320" s="11" t="s">
        <v>372</v>
      </c>
      <c r="G320" s="9"/>
      <c r="H320" s="9"/>
      <c r="I320" s="11" t="s">
        <v>138</v>
      </c>
      <c r="J320" s="11" t="s">
        <v>32</v>
      </c>
      <c r="K320" s="13">
        <v>100.0</v>
      </c>
      <c r="L320" s="14"/>
      <c r="M320" s="14"/>
      <c r="N320" s="14"/>
      <c r="O320" s="14"/>
      <c r="P320" s="14"/>
      <c r="Q320" s="18">
        <v>1.0</v>
      </c>
      <c r="R320" s="11" t="s">
        <v>621</v>
      </c>
      <c r="S320" s="9"/>
      <c r="T320" s="9"/>
      <c r="U320" s="9"/>
      <c r="V320" s="9"/>
      <c r="W320" s="9"/>
      <c r="X320" s="9"/>
      <c r="Y320" s="9"/>
    </row>
    <row r="321" hidden="1">
      <c r="A321" s="11" t="s">
        <v>615</v>
      </c>
      <c r="B321" s="9"/>
      <c r="C321" s="9"/>
      <c r="D321" s="11" t="s">
        <v>352</v>
      </c>
      <c r="E321" s="11" t="s">
        <v>40</v>
      </c>
      <c r="F321" s="11" t="s">
        <v>353</v>
      </c>
      <c r="G321" s="9"/>
      <c r="H321" s="9"/>
      <c r="I321" s="11" t="s">
        <v>622</v>
      </c>
      <c r="J321" s="11" t="s">
        <v>623</v>
      </c>
      <c r="K321" s="23">
        <v>0.5</v>
      </c>
      <c r="L321" s="14"/>
      <c r="M321" s="14"/>
      <c r="N321" s="14"/>
      <c r="O321" s="14"/>
      <c r="P321" s="14"/>
      <c r="Q321" s="15">
        <f>AVERAGE(K321)</f>
        <v>0.5</v>
      </c>
      <c r="R321" s="11" t="s">
        <v>624</v>
      </c>
      <c r="S321" s="9"/>
      <c r="T321" s="9"/>
      <c r="U321" s="9"/>
      <c r="V321" s="9"/>
      <c r="W321" s="9"/>
      <c r="X321" s="9"/>
      <c r="Y321" s="9"/>
    </row>
    <row r="322" hidden="1">
      <c r="A322" s="11" t="s">
        <v>615</v>
      </c>
      <c r="B322" s="9" t="str">
        <f>CONCATENATE(D322,E322,J322,I322)</f>
        <v>Erica Alvarez-StantonQ3: December 2024 - February 20252nd1.a</v>
      </c>
      <c r="C322" s="9"/>
      <c r="D322" s="11" t="s">
        <v>226</v>
      </c>
      <c r="E322" s="11" t="s">
        <v>40</v>
      </c>
      <c r="F322" s="11" t="s">
        <v>227</v>
      </c>
      <c r="G322" s="9"/>
      <c r="H322" s="9"/>
      <c r="I322" s="11" t="s">
        <v>625</v>
      </c>
      <c r="J322" s="11" t="s">
        <v>623</v>
      </c>
      <c r="K322" s="13">
        <v>0.0</v>
      </c>
      <c r="L322" s="14"/>
      <c r="M322" s="14"/>
      <c r="N322" s="14"/>
      <c r="O322" s="14"/>
      <c r="P322" s="14"/>
      <c r="Q322" s="18">
        <v>0.0</v>
      </c>
      <c r="R322" s="11" t="s">
        <v>626</v>
      </c>
      <c r="S322" s="9"/>
      <c r="T322" s="9"/>
      <c r="U322" s="9"/>
      <c r="V322" s="9"/>
      <c r="W322" s="9"/>
      <c r="X322" s="9"/>
      <c r="Y322" s="9"/>
    </row>
    <row r="323">
      <c r="A323" s="43">
        <v>45903.600949074076</v>
      </c>
      <c r="B323" s="20" t="s">
        <v>535</v>
      </c>
      <c r="C323" s="20" t="s">
        <v>534</v>
      </c>
      <c r="D323" s="20" t="s">
        <v>535</v>
      </c>
      <c r="E323" s="20" t="s">
        <v>518</v>
      </c>
      <c r="F323" s="20" t="s">
        <v>195</v>
      </c>
      <c r="G323" s="20" t="s">
        <v>536</v>
      </c>
      <c r="H323" s="20" t="s">
        <v>200</v>
      </c>
      <c r="I323" s="44"/>
      <c r="J323" s="20" t="s">
        <v>526</v>
      </c>
      <c r="K323" s="45">
        <v>100.0</v>
      </c>
      <c r="L323" s="45">
        <v>100.0</v>
      </c>
      <c r="M323" s="46"/>
      <c r="N323" s="46"/>
      <c r="O323" s="46"/>
      <c r="P323" s="46"/>
      <c r="Q323" s="47"/>
      <c r="R323" s="20" t="s">
        <v>627</v>
      </c>
      <c r="S323" s="44"/>
      <c r="T323" s="44"/>
      <c r="U323" s="44"/>
      <c r="V323" s="44"/>
      <c r="W323" s="44"/>
      <c r="X323" s="44"/>
      <c r="Y323" s="44"/>
    </row>
    <row r="324">
      <c r="A324" s="9"/>
      <c r="B324" s="9"/>
      <c r="C324" s="9"/>
      <c r="D324" s="9"/>
      <c r="E324" s="9"/>
      <c r="F324" s="9"/>
      <c r="G324" s="9"/>
      <c r="H324" s="9"/>
      <c r="I324" s="9"/>
      <c r="J324" s="9"/>
      <c r="K324" s="14"/>
      <c r="L324" s="14"/>
      <c r="M324" s="14"/>
      <c r="N324" s="14"/>
      <c r="O324" s="14"/>
      <c r="P324" s="14"/>
      <c r="Q324" s="42"/>
      <c r="R324" s="9"/>
      <c r="S324" s="9"/>
      <c r="T324" s="9"/>
      <c r="U324" s="9"/>
      <c r="V324" s="9"/>
      <c r="W324" s="9"/>
      <c r="X324" s="9"/>
      <c r="Y324" s="9"/>
    </row>
    <row r="325">
      <c r="A325" s="9"/>
      <c r="B325" s="9"/>
      <c r="C325" s="9"/>
      <c r="D325" s="9"/>
      <c r="E325" s="9"/>
      <c r="F325" s="9"/>
      <c r="G325" s="9"/>
      <c r="H325" s="9"/>
      <c r="I325" s="9"/>
      <c r="J325" s="9"/>
      <c r="K325" s="14"/>
      <c r="L325" s="14"/>
      <c r="M325" s="14"/>
      <c r="N325" s="14"/>
      <c r="O325" s="14"/>
      <c r="P325" s="14"/>
      <c r="Q325" s="42"/>
      <c r="R325" s="9"/>
      <c r="S325" s="9"/>
      <c r="T325" s="9"/>
      <c r="U325" s="9"/>
      <c r="V325" s="9"/>
      <c r="W325" s="9"/>
      <c r="X325" s="9"/>
      <c r="Y325" s="9"/>
    </row>
    <row r="326">
      <c r="A326" s="9"/>
      <c r="B326" s="9"/>
      <c r="C326" s="9"/>
      <c r="D326" s="9"/>
      <c r="E326" s="9"/>
      <c r="F326" s="9"/>
      <c r="G326" s="9"/>
      <c r="H326" s="9"/>
      <c r="I326" s="9"/>
      <c r="J326" s="9"/>
      <c r="K326" s="14"/>
      <c r="L326" s="14"/>
      <c r="M326" s="14"/>
      <c r="N326" s="14"/>
      <c r="O326" s="14"/>
      <c r="P326" s="14"/>
      <c r="Q326" s="42"/>
      <c r="R326" s="9"/>
      <c r="S326" s="9"/>
      <c r="T326" s="9"/>
      <c r="U326" s="9"/>
      <c r="V326" s="9"/>
      <c r="W326" s="9"/>
      <c r="X326" s="9"/>
      <c r="Y326" s="9"/>
    </row>
    <row r="327">
      <c r="A327" s="9"/>
      <c r="B327" s="9"/>
      <c r="C327" s="9"/>
      <c r="D327" s="9"/>
      <c r="E327" s="9"/>
      <c r="F327" s="9"/>
      <c r="G327" s="9"/>
      <c r="H327" s="9"/>
      <c r="I327" s="9"/>
      <c r="J327" s="9"/>
      <c r="K327" s="14"/>
      <c r="L327" s="14"/>
      <c r="M327" s="14"/>
      <c r="N327" s="14"/>
      <c r="O327" s="14"/>
      <c r="P327" s="14"/>
      <c r="Q327" s="42"/>
      <c r="R327" s="9"/>
      <c r="S327" s="9"/>
      <c r="T327" s="9"/>
      <c r="U327" s="9"/>
      <c r="V327" s="9"/>
      <c r="W327" s="9"/>
      <c r="X327" s="9"/>
      <c r="Y327" s="9"/>
    </row>
    <row r="328">
      <c r="A328" s="9"/>
      <c r="B328" s="9"/>
      <c r="C328" s="9"/>
      <c r="D328" s="9"/>
      <c r="E328" s="9"/>
      <c r="F328" s="9"/>
      <c r="G328" s="9"/>
      <c r="H328" s="9"/>
      <c r="I328" s="9"/>
      <c r="J328" s="9"/>
      <c r="K328" s="14"/>
      <c r="L328" s="14"/>
      <c r="M328" s="14"/>
      <c r="N328" s="14"/>
      <c r="O328" s="14"/>
      <c r="P328" s="14"/>
      <c r="Q328" s="42"/>
      <c r="R328" s="9"/>
      <c r="S328" s="9"/>
      <c r="T328" s="9"/>
      <c r="U328" s="9"/>
      <c r="V328" s="9"/>
      <c r="W328" s="9"/>
      <c r="X328" s="9"/>
      <c r="Y328" s="9"/>
    </row>
    <row r="329">
      <c r="A329" s="9"/>
      <c r="B329" s="9"/>
      <c r="C329" s="9"/>
      <c r="D329" s="9"/>
      <c r="E329" s="9"/>
      <c r="F329" s="9"/>
      <c r="G329" s="9"/>
      <c r="H329" s="9"/>
      <c r="I329" s="9"/>
      <c r="J329" s="9"/>
      <c r="K329" s="14"/>
      <c r="L329" s="14"/>
      <c r="M329" s="14"/>
      <c r="N329" s="14"/>
      <c r="O329" s="14"/>
      <c r="P329" s="14"/>
      <c r="Q329" s="42"/>
      <c r="R329" s="9"/>
      <c r="S329" s="9"/>
      <c r="T329" s="9"/>
      <c r="U329" s="9"/>
      <c r="V329" s="9"/>
      <c r="W329" s="9"/>
      <c r="X329" s="9"/>
      <c r="Y329" s="9"/>
    </row>
    <row r="330">
      <c r="A330" s="9"/>
      <c r="B330" s="9"/>
      <c r="C330" s="9"/>
      <c r="D330" s="9"/>
      <c r="E330" s="9"/>
      <c r="F330" s="9"/>
      <c r="G330" s="9"/>
      <c r="H330" s="9"/>
      <c r="I330" s="9"/>
      <c r="J330" s="9"/>
      <c r="K330" s="14"/>
      <c r="L330" s="14"/>
      <c r="M330" s="14"/>
      <c r="N330" s="14"/>
      <c r="O330" s="14"/>
      <c r="P330" s="14"/>
      <c r="Q330" s="42"/>
      <c r="R330" s="9"/>
      <c r="S330" s="9"/>
      <c r="T330" s="9"/>
      <c r="U330" s="9"/>
      <c r="V330" s="9"/>
      <c r="W330" s="9"/>
      <c r="X330" s="9"/>
      <c r="Y330" s="9"/>
    </row>
    <row r="331">
      <c r="A331" s="9"/>
      <c r="B331" s="9"/>
      <c r="C331" s="9"/>
      <c r="D331" s="9"/>
      <c r="E331" s="9"/>
      <c r="F331" s="9"/>
      <c r="G331" s="9"/>
      <c r="H331" s="9"/>
      <c r="I331" s="9"/>
      <c r="J331" s="9"/>
      <c r="K331" s="14"/>
      <c r="L331" s="14"/>
      <c r="M331" s="14"/>
      <c r="N331" s="14"/>
      <c r="O331" s="14"/>
      <c r="P331" s="14"/>
      <c r="Q331" s="42"/>
      <c r="R331" s="9"/>
      <c r="S331" s="9"/>
      <c r="T331" s="9"/>
      <c r="U331" s="9"/>
      <c r="V331" s="9"/>
      <c r="W331" s="9"/>
      <c r="X331" s="9"/>
      <c r="Y331" s="9"/>
    </row>
    <row r="332">
      <c r="A332" s="9"/>
      <c r="B332" s="9"/>
      <c r="C332" s="9"/>
      <c r="D332" s="9"/>
      <c r="E332" s="9"/>
      <c r="F332" s="9"/>
      <c r="G332" s="9"/>
      <c r="H332" s="9"/>
      <c r="I332" s="9"/>
      <c r="J332" s="9"/>
      <c r="K332" s="14"/>
      <c r="L332" s="14"/>
      <c r="M332" s="14"/>
      <c r="N332" s="14"/>
      <c r="O332" s="14"/>
      <c r="P332" s="14"/>
      <c r="Q332" s="42"/>
      <c r="R332" s="9"/>
      <c r="S332" s="9"/>
      <c r="T332" s="9"/>
      <c r="U332" s="9"/>
      <c r="V332" s="9"/>
      <c r="W332" s="9"/>
      <c r="X332" s="9"/>
      <c r="Y332" s="9"/>
    </row>
    <row r="333">
      <c r="A333" s="9"/>
      <c r="B333" s="9"/>
      <c r="C333" s="9"/>
      <c r="D333" s="9"/>
      <c r="E333" s="9"/>
      <c r="F333" s="9"/>
      <c r="G333" s="9"/>
      <c r="H333" s="9"/>
      <c r="I333" s="9"/>
      <c r="J333" s="9"/>
      <c r="K333" s="14"/>
      <c r="L333" s="14"/>
      <c r="M333" s="14"/>
      <c r="N333" s="14"/>
      <c r="O333" s="14"/>
      <c r="P333" s="14"/>
      <c r="Q333" s="42"/>
      <c r="R333" s="9"/>
      <c r="S333" s="9"/>
      <c r="T333" s="9"/>
      <c r="U333" s="9"/>
      <c r="V333" s="9"/>
      <c r="W333" s="9"/>
      <c r="X333" s="9"/>
      <c r="Y333" s="9"/>
    </row>
    <row r="334">
      <c r="A334" s="9"/>
      <c r="B334" s="9"/>
      <c r="C334" s="9"/>
      <c r="D334" s="9"/>
      <c r="E334" s="9"/>
      <c r="F334" s="9"/>
      <c r="G334" s="9"/>
      <c r="H334" s="9"/>
      <c r="I334" s="9"/>
      <c r="J334" s="9"/>
      <c r="K334" s="14"/>
      <c r="L334" s="14"/>
      <c r="M334" s="14"/>
      <c r="N334" s="14"/>
      <c r="O334" s="14"/>
      <c r="P334" s="14"/>
      <c r="Q334" s="42"/>
      <c r="R334" s="9"/>
      <c r="S334" s="9"/>
      <c r="T334" s="9"/>
      <c r="U334" s="9"/>
      <c r="V334" s="9"/>
      <c r="W334" s="9"/>
      <c r="X334" s="9"/>
      <c r="Y334" s="9"/>
    </row>
    <row r="335">
      <c r="A335" s="9"/>
      <c r="B335" s="9"/>
      <c r="C335" s="9"/>
      <c r="D335" s="9"/>
      <c r="E335" s="9"/>
      <c r="F335" s="9"/>
      <c r="G335" s="9"/>
      <c r="H335" s="9"/>
      <c r="I335" s="9"/>
      <c r="J335" s="9"/>
      <c r="K335" s="14"/>
      <c r="L335" s="14"/>
      <c r="M335" s="14"/>
      <c r="N335" s="14"/>
      <c r="O335" s="14"/>
      <c r="P335" s="14"/>
      <c r="Q335" s="42"/>
      <c r="R335" s="9"/>
      <c r="S335" s="9"/>
      <c r="T335" s="9"/>
      <c r="U335" s="9"/>
      <c r="V335" s="9"/>
      <c r="W335" s="9"/>
      <c r="X335" s="9"/>
      <c r="Y335" s="9"/>
    </row>
    <row r="336">
      <c r="A336" s="9"/>
      <c r="B336" s="9"/>
      <c r="C336" s="9"/>
      <c r="D336" s="9"/>
      <c r="E336" s="9"/>
      <c r="F336" s="9"/>
      <c r="G336" s="9"/>
      <c r="H336" s="9"/>
      <c r="I336" s="9"/>
      <c r="J336" s="9"/>
      <c r="K336" s="14"/>
      <c r="L336" s="14"/>
      <c r="M336" s="14"/>
      <c r="N336" s="14"/>
      <c r="O336" s="14"/>
      <c r="P336" s="14"/>
      <c r="Q336" s="42"/>
      <c r="R336" s="9"/>
      <c r="S336" s="9"/>
      <c r="T336" s="9"/>
      <c r="U336" s="9"/>
      <c r="V336" s="9"/>
      <c r="W336" s="9"/>
      <c r="X336" s="9"/>
      <c r="Y336" s="9"/>
    </row>
    <row r="337">
      <c r="A337" s="9"/>
      <c r="B337" s="9"/>
      <c r="C337" s="9"/>
      <c r="D337" s="9"/>
      <c r="E337" s="9"/>
      <c r="F337" s="9"/>
      <c r="G337" s="9"/>
      <c r="H337" s="9"/>
      <c r="I337" s="9"/>
      <c r="J337" s="9"/>
      <c r="K337" s="14"/>
      <c r="L337" s="14"/>
      <c r="M337" s="14"/>
      <c r="N337" s="14"/>
      <c r="O337" s="14"/>
      <c r="P337" s="14"/>
      <c r="Q337" s="42"/>
      <c r="R337" s="9"/>
      <c r="S337" s="9"/>
      <c r="T337" s="9"/>
      <c r="U337" s="9"/>
      <c r="V337" s="9"/>
      <c r="W337" s="9"/>
      <c r="X337" s="9"/>
      <c r="Y337" s="9"/>
    </row>
    <row r="338">
      <c r="A338" s="9"/>
      <c r="B338" s="9"/>
      <c r="C338" s="9"/>
      <c r="D338" s="9"/>
      <c r="E338" s="9"/>
      <c r="F338" s="9"/>
      <c r="G338" s="9"/>
      <c r="H338" s="9"/>
      <c r="I338" s="9"/>
      <c r="J338" s="9"/>
      <c r="K338" s="14"/>
      <c r="L338" s="14"/>
      <c r="M338" s="14"/>
      <c r="N338" s="14"/>
      <c r="O338" s="14"/>
      <c r="P338" s="14"/>
      <c r="Q338" s="42"/>
      <c r="R338" s="9"/>
      <c r="S338" s="9"/>
      <c r="T338" s="9"/>
      <c r="U338" s="9"/>
      <c r="V338" s="9"/>
      <c r="W338" s="9"/>
      <c r="X338" s="9"/>
      <c r="Y338" s="9"/>
    </row>
    <row r="339">
      <c r="A339" s="9"/>
      <c r="B339" s="9"/>
      <c r="C339" s="9"/>
      <c r="D339" s="9"/>
      <c r="E339" s="9"/>
      <c r="F339" s="9"/>
      <c r="G339" s="9"/>
      <c r="H339" s="9"/>
      <c r="I339" s="9"/>
      <c r="J339" s="9"/>
      <c r="K339" s="14"/>
      <c r="L339" s="14"/>
      <c r="M339" s="14"/>
      <c r="N339" s="14"/>
      <c r="O339" s="14"/>
      <c r="P339" s="14"/>
      <c r="Q339" s="42"/>
      <c r="R339" s="9"/>
      <c r="S339" s="9"/>
      <c r="T339" s="9"/>
      <c r="U339" s="9"/>
      <c r="V339" s="9"/>
      <c r="W339" s="9"/>
      <c r="X339" s="9"/>
      <c r="Y339" s="9"/>
    </row>
    <row r="340">
      <c r="A340" s="9"/>
      <c r="B340" s="9"/>
      <c r="C340" s="9"/>
      <c r="D340" s="9"/>
      <c r="E340" s="9"/>
      <c r="F340" s="9"/>
      <c r="G340" s="9"/>
      <c r="H340" s="9"/>
      <c r="I340" s="9"/>
      <c r="J340" s="9"/>
      <c r="K340" s="14"/>
      <c r="L340" s="14"/>
      <c r="M340" s="14"/>
      <c r="N340" s="14"/>
      <c r="O340" s="14"/>
      <c r="P340" s="14"/>
      <c r="Q340" s="42"/>
      <c r="R340" s="9"/>
      <c r="S340" s="9"/>
      <c r="T340" s="9"/>
      <c r="U340" s="9"/>
      <c r="V340" s="9"/>
      <c r="W340" s="9"/>
      <c r="X340" s="9"/>
      <c r="Y340" s="9"/>
    </row>
    <row r="341">
      <c r="A341" s="9"/>
      <c r="B341" s="9"/>
      <c r="C341" s="9"/>
      <c r="D341" s="9"/>
      <c r="E341" s="9"/>
      <c r="F341" s="9"/>
      <c r="G341" s="9"/>
      <c r="H341" s="9"/>
      <c r="I341" s="9"/>
      <c r="J341" s="9"/>
      <c r="K341" s="14"/>
      <c r="L341" s="14"/>
      <c r="M341" s="14"/>
      <c r="N341" s="14"/>
      <c r="O341" s="14"/>
      <c r="P341" s="14"/>
      <c r="Q341" s="42"/>
      <c r="R341" s="9"/>
      <c r="S341" s="9"/>
      <c r="T341" s="9"/>
      <c r="U341" s="9"/>
      <c r="V341" s="9"/>
      <c r="W341" s="9"/>
      <c r="X341" s="9"/>
      <c r="Y341" s="9"/>
    </row>
    <row r="342">
      <c r="A342" s="9"/>
      <c r="B342" s="9"/>
      <c r="C342" s="9"/>
      <c r="D342" s="9"/>
      <c r="E342" s="9"/>
      <c r="F342" s="9"/>
      <c r="G342" s="9"/>
      <c r="H342" s="9"/>
      <c r="I342" s="9"/>
      <c r="J342" s="9"/>
      <c r="K342" s="14"/>
      <c r="L342" s="14"/>
      <c r="M342" s="14"/>
      <c r="N342" s="14"/>
      <c r="O342" s="14"/>
      <c r="P342" s="14"/>
      <c r="Q342" s="42"/>
      <c r="R342" s="9"/>
      <c r="S342" s="9"/>
      <c r="T342" s="9"/>
      <c r="U342" s="9"/>
      <c r="V342" s="9"/>
      <c r="W342" s="9"/>
      <c r="X342" s="9"/>
      <c r="Y342" s="9"/>
    </row>
    <row r="343">
      <c r="A343" s="9"/>
      <c r="B343" s="9"/>
      <c r="C343" s="9"/>
      <c r="D343" s="9"/>
      <c r="E343" s="9"/>
      <c r="F343" s="9"/>
      <c r="G343" s="9"/>
      <c r="H343" s="9"/>
      <c r="I343" s="9"/>
      <c r="J343" s="9"/>
      <c r="K343" s="14"/>
      <c r="L343" s="14"/>
      <c r="M343" s="14"/>
      <c r="N343" s="14"/>
      <c r="O343" s="14"/>
      <c r="P343" s="14"/>
      <c r="Q343" s="42"/>
      <c r="R343" s="9"/>
      <c r="S343" s="9"/>
      <c r="T343" s="9"/>
      <c r="U343" s="9"/>
      <c r="V343" s="9"/>
      <c r="W343" s="9"/>
      <c r="X343" s="9"/>
      <c r="Y343" s="9"/>
    </row>
    <row r="344">
      <c r="A344" s="9"/>
      <c r="B344" s="9"/>
      <c r="C344" s="9"/>
      <c r="D344" s="9"/>
      <c r="E344" s="9"/>
      <c r="F344" s="9"/>
      <c r="G344" s="9"/>
      <c r="H344" s="9"/>
      <c r="I344" s="9"/>
      <c r="J344" s="9"/>
      <c r="K344" s="14"/>
      <c r="L344" s="14"/>
      <c r="M344" s="14"/>
      <c r="N344" s="14"/>
      <c r="O344" s="14"/>
      <c r="P344" s="14"/>
      <c r="Q344" s="42"/>
      <c r="R344" s="9"/>
      <c r="S344" s="9"/>
      <c r="T344" s="9"/>
      <c r="U344" s="9"/>
      <c r="V344" s="9"/>
      <c r="W344" s="9"/>
      <c r="X344" s="9"/>
      <c r="Y344" s="9"/>
    </row>
    <row r="345">
      <c r="A345" s="9"/>
      <c r="B345" s="9"/>
      <c r="C345" s="9"/>
      <c r="D345" s="9"/>
      <c r="E345" s="9"/>
      <c r="F345" s="9"/>
      <c r="G345" s="9"/>
      <c r="H345" s="9"/>
      <c r="I345" s="9"/>
      <c r="J345" s="9"/>
      <c r="K345" s="14"/>
      <c r="L345" s="14"/>
      <c r="M345" s="14"/>
      <c r="N345" s="14"/>
      <c r="O345" s="14"/>
      <c r="P345" s="14"/>
      <c r="Q345" s="42"/>
      <c r="R345" s="9"/>
      <c r="S345" s="9"/>
      <c r="T345" s="9"/>
      <c r="U345" s="9"/>
      <c r="V345" s="9"/>
      <c r="W345" s="9"/>
      <c r="X345" s="9"/>
      <c r="Y345" s="9"/>
    </row>
    <row r="346">
      <c r="A346" s="9"/>
      <c r="B346" s="9"/>
      <c r="C346" s="9"/>
      <c r="D346" s="9"/>
      <c r="E346" s="9"/>
      <c r="F346" s="9"/>
      <c r="G346" s="9"/>
      <c r="H346" s="9"/>
      <c r="I346" s="9"/>
      <c r="J346" s="9"/>
      <c r="K346" s="14"/>
      <c r="L346" s="14"/>
      <c r="M346" s="14"/>
      <c r="N346" s="14"/>
      <c r="O346" s="14"/>
      <c r="P346" s="14"/>
      <c r="Q346" s="42"/>
      <c r="R346" s="9"/>
      <c r="S346" s="9"/>
      <c r="T346" s="9"/>
      <c r="U346" s="9"/>
      <c r="V346" s="9"/>
      <c r="W346" s="9"/>
      <c r="X346" s="9"/>
      <c r="Y346" s="9"/>
    </row>
    <row r="347">
      <c r="A347" s="9"/>
      <c r="B347" s="9"/>
      <c r="C347" s="9"/>
      <c r="D347" s="9"/>
      <c r="E347" s="9"/>
      <c r="F347" s="9"/>
      <c r="G347" s="9"/>
      <c r="H347" s="9"/>
      <c r="I347" s="9"/>
      <c r="J347" s="9"/>
      <c r="K347" s="14"/>
      <c r="L347" s="14"/>
      <c r="M347" s="14"/>
      <c r="N347" s="14"/>
      <c r="O347" s="14"/>
      <c r="P347" s="14"/>
      <c r="Q347" s="42"/>
      <c r="R347" s="9"/>
      <c r="S347" s="9"/>
      <c r="T347" s="9"/>
      <c r="U347" s="9"/>
      <c r="V347" s="9"/>
      <c r="W347" s="9"/>
      <c r="X347" s="9"/>
      <c r="Y347" s="9"/>
    </row>
    <row r="348">
      <c r="A348" s="9"/>
      <c r="B348" s="9"/>
      <c r="C348" s="9"/>
      <c r="D348" s="9"/>
      <c r="E348" s="9"/>
      <c r="F348" s="9"/>
      <c r="G348" s="9"/>
      <c r="H348" s="9"/>
      <c r="I348" s="9"/>
      <c r="J348" s="9"/>
      <c r="K348" s="14"/>
      <c r="L348" s="14"/>
      <c r="M348" s="14"/>
      <c r="N348" s="14"/>
      <c r="O348" s="14"/>
      <c r="P348" s="14"/>
      <c r="Q348" s="42"/>
      <c r="R348" s="9"/>
      <c r="S348" s="9"/>
      <c r="T348" s="9"/>
      <c r="U348" s="9"/>
      <c r="V348" s="9"/>
      <c r="W348" s="9"/>
      <c r="X348" s="9"/>
      <c r="Y348" s="9"/>
    </row>
    <row r="349">
      <c r="A349" s="9"/>
      <c r="B349" s="9"/>
      <c r="C349" s="9"/>
      <c r="D349" s="9"/>
      <c r="E349" s="9"/>
      <c r="F349" s="9"/>
      <c r="G349" s="9"/>
      <c r="H349" s="9"/>
      <c r="I349" s="9"/>
      <c r="J349" s="9"/>
      <c r="K349" s="14"/>
      <c r="L349" s="14"/>
      <c r="M349" s="14"/>
      <c r="N349" s="14"/>
      <c r="O349" s="14"/>
      <c r="P349" s="14"/>
      <c r="Q349" s="42"/>
      <c r="R349" s="9"/>
      <c r="S349" s="9"/>
      <c r="T349" s="9"/>
      <c r="U349" s="9"/>
      <c r="V349" s="9"/>
      <c r="W349" s="9"/>
      <c r="X349" s="9"/>
      <c r="Y349" s="9"/>
    </row>
    <row r="350">
      <c r="A350" s="9"/>
      <c r="B350" s="9"/>
      <c r="C350" s="9"/>
      <c r="D350" s="9"/>
      <c r="E350" s="9"/>
      <c r="F350" s="9"/>
      <c r="G350" s="9"/>
      <c r="H350" s="9"/>
      <c r="I350" s="9"/>
      <c r="J350" s="9"/>
      <c r="K350" s="14"/>
      <c r="L350" s="14"/>
      <c r="M350" s="14"/>
      <c r="N350" s="14"/>
      <c r="O350" s="14"/>
      <c r="P350" s="14"/>
      <c r="Q350" s="42"/>
      <c r="R350" s="9"/>
      <c r="S350" s="9"/>
      <c r="T350" s="9"/>
      <c r="U350" s="9"/>
      <c r="V350" s="9"/>
      <c r="W350" s="9"/>
      <c r="X350" s="9"/>
      <c r="Y350" s="9"/>
    </row>
    <row r="351">
      <c r="A351" s="9"/>
      <c r="B351" s="9"/>
      <c r="C351" s="9"/>
      <c r="D351" s="9"/>
      <c r="E351" s="9"/>
      <c r="F351" s="9"/>
      <c r="G351" s="9"/>
      <c r="H351" s="9"/>
      <c r="I351" s="9"/>
      <c r="J351" s="9"/>
      <c r="K351" s="14"/>
      <c r="L351" s="14"/>
      <c r="M351" s="14"/>
      <c r="N351" s="14"/>
      <c r="O351" s="14"/>
      <c r="P351" s="14"/>
      <c r="Q351" s="42"/>
      <c r="R351" s="9"/>
      <c r="S351" s="9"/>
      <c r="T351" s="9"/>
      <c r="U351" s="9"/>
      <c r="V351" s="9"/>
      <c r="W351" s="9"/>
      <c r="X351" s="9"/>
      <c r="Y351" s="9"/>
    </row>
    <row r="352">
      <c r="A352" s="9"/>
      <c r="B352" s="9"/>
      <c r="C352" s="9"/>
      <c r="D352" s="9"/>
      <c r="E352" s="9"/>
      <c r="F352" s="9"/>
      <c r="G352" s="9"/>
      <c r="H352" s="9"/>
      <c r="I352" s="9"/>
      <c r="J352" s="9"/>
      <c r="K352" s="14"/>
      <c r="L352" s="14"/>
      <c r="M352" s="14"/>
      <c r="N352" s="14"/>
      <c r="O352" s="14"/>
      <c r="P352" s="14"/>
      <c r="Q352" s="42"/>
      <c r="R352" s="9"/>
      <c r="S352" s="9"/>
      <c r="T352" s="9"/>
      <c r="U352" s="9"/>
      <c r="V352" s="9"/>
      <c r="W352" s="9"/>
      <c r="X352" s="9"/>
      <c r="Y352" s="9"/>
    </row>
    <row r="353">
      <c r="A353" s="9"/>
      <c r="B353" s="9"/>
      <c r="C353" s="9"/>
      <c r="D353" s="9"/>
      <c r="E353" s="9"/>
      <c r="F353" s="9"/>
      <c r="G353" s="9"/>
      <c r="H353" s="9"/>
      <c r="I353" s="9"/>
      <c r="J353" s="9"/>
      <c r="K353" s="14"/>
      <c r="L353" s="14"/>
      <c r="M353" s="14"/>
      <c r="N353" s="14"/>
      <c r="O353" s="14"/>
      <c r="P353" s="14"/>
      <c r="Q353" s="42"/>
      <c r="R353" s="9"/>
      <c r="S353" s="9"/>
      <c r="T353" s="9"/>
      <c r="U353" s="9"/>
      <c r="V353" s="9"/>
      <c r="W353" s="9"/>
      <c r="X353" s="9"/>
      <c r="Y353" s="9"/>
    </row>
    <row r="354">
      <c r="A354" s="9"/>
      <c r="B354" s="9"/>
      <c r="C354" s="9"/>
      <c r="D354" s="9"/>
      <c r="E354" s="9"/>
      <c r="F354" s="9"/>
      <c r="G354" s="9"/>
      <c r="H354" s="9"/>
      <c r="I354" s="9"/>
      <c r="J354" s="9"/>
      <c r="K354" s="14"/>
      <c r="L354" s="14"/>
      <c r="M354" s="14"/>
      <c r="N354" s="14"/>
      <c r="O354" s="14"/>
      <c r="P354" s="14"/>
      <c r="Q354" s="42"/>
      <c r="R354" s="9"/>
      <c r="S354" s="9"/>
      <c r="T354" s="9"/>
      <c r="U354" s="9"/>
      <c r="V354" s="9"/>
      <c r="W354" s="9"/>
      <c r="X354" s="9"/>
      <c r="Y354" s="9"/>
    </row>
    <row r="355">
      <c r="A355" s="9"/>
      <c r="B355" s="9"/>
      <c r="C355" s="9"/>
      <c r="D355" s="9"/>
      <c r="E355" s="9"/>
      <c r="F355" s="9"/>
      <c r="G355" s="9"/>
      <c r="H355" s="9"/>
      <c r="I355" s="9"/>
      <c r="J355" s="9"/>
      <c r="K355" s="14"/>
      <c r="L355" s="14"/>
      <c r="M355" s="14"/>
      <c r="N355" s="14"/>
      <c r="O355" s="14"/>
      <c r="P355" s="14"/>
      <c r="Q355" s="42"/>
      <c r="R355" s="9"/>
      <c r="S355" s="9"/>
      <c r="T355" s="9"/>
      <c r="U355" s="9"/>
      <c r="V355" s="9"/>
      <c r="W355" s="9"/>
      <c r="X355" s="9"/>
      <c r="Y355" s="9"/>
    </row>
    <row r="356">
      <c r="A356" s="9"/>
      <c r="B356" s="9"/>
      <c r="C356" s="9"/>
      <c r="D356" s="9"/>
      <c r="E356" s="9"/>
      <c r="F356" s="9"/>
      <c r="G356" s="9"/>
      <c r="H356" s="9"/>
      <c r="I356" s="9"/>
      <c r="J356" s="9"/>
      <c r="K356" s="14"/>
      <c r="L356" s="14"/>
      <c r="M356" s="14"/>
      <c r="N356" s="14"/>
      <c r="O356" s="14"/>
      <c r="P356" s="14"/>
      <c r="Q356" s="42"/>
      <c r="R356" s="9"/>
      <c r="S356" s="9"/>
      <c r="T356" s="9"/>
      <c r="U356" s="9"/>
      <c r="V356" s="9"/>
      <c r="W356" s="9"/>
      <c r="X356" s="9"/>
      <c r="Y356" s="9"/>
    </row>
    <row r="357">
      <c r="A357" s="9"/>
      <c r="B357" s="9"/>
      <c r="C357" s="9"/>
      <c r="D357" s="9"/>
      <c r="E357" s="9"/>
      <c r="F357" s="9"/>
      <c r="G357" s="9"/>
      <c r="H357" s="9"/>
      <c r="I357" s="9"/>
      <c r="J357" s="9"/>
      <c r="K357" s="14"/>
      <c r="L357" s="14"/>
      <c r="M357" s="14"/>
      <c r="N357" s="14"/>
      <c r="O357" s="14"/>
      <c r="P357" s="14"/>
      <c r="Q357" s="42"/>
      <c r="R357" s="9"/>
      <c r="S357" s="9"/>
      <c r="T357" s="9"/>
      <c r="U357" s="9"/>
      <c r="V357" s="9"/>
      <c r="W357" s="9"/>
      <c r="X357" s="9"/>
      <c r="Y357" s="9"/>
    </row>
    <row r="358">
      <c r="A358" s="9"/>
      <c r="B358" s="9"/>
      <c r="C358" s="9"/>
      <c r="D358" s="9"/>
      <c r="E358" s="9"/>
      <c r="F358" s="9"/>
      <c r="G358" s="9"/>
      <c r="H358" s="9"/>
      <c r="I358" s="9"/>
      <c r="J358" s="9"/>
      <c r="K358" s="14"/>
      <c r="L358" s="14"/>
      <c r="M358" s="14"/>
      <c r="N358" s="14"/>
      <c r="O358" s="14"/>
      <c r="P358" s="14"/>
      <c r="Q358" s="42"/>
      <c r="R358" s="9"/>
      <c r="S358" s="9"/>
      <c r="T358" s="9"/>
      <c r="U358" s="9"/>
      <c r="V358" s="9"/>
      <c r="W358" s="9"/>
      <c r="X358" s="9"/>
      <c r="Y358" s="9"/>
    </row>
    <row r="359">
      <c r="A359" s="9"/>
      <c r="B359" s="9"/>
      <c r="C359" s="9"/>
      <c r="D359" s="9"/>
      <c r="E359" s="9"/>
      <c r="F359" s="9"/>
      <c r="G359" s="9"/>
      <c r="H359" s="9"/>
      <c r="I359" s="9"/>
      <c r="J359" s="9"/>
      <c r="K359" s="14"/>
      <c r="L359" s="14"/>
      <c r="M359" s="14"/>
      <c r="N359" s="14"/>
      <c r="O359" s="14"/>
      <c r="P359" s="14"/>
      <c r="Q359" s="42"/>
      <c r="R359" s="9"/>
      <c r="S359" s="9"/>
      <c r="T359" s="9"/>
      <c r="U359" s="9"/>
      <c r="V359" s="9"/>
      <c r="W359" s="9"/>
      <c r="X359" s="9"/>
      <c r="Y359" s="9"/>
    </row>
    <row r="360">
      <c r="A360" s="9"/>
      <c r="B360" s="9"/>
      <c r="C360" s="9"/>
      <c r="D360" s="9"/>
      <c r="E360" s="9"/>
      <c r="F360" s="9"/>
      <c r="G360" s="9"/>
      <c r="H360" s="9"/>
      <c r="I360" s="9"/>
      <c r="J360" s="9"/>
      <c r="K360" s="14"/>
      <c r="L360" s="14"/>
      <c r="M360" s="14"/>
      <c r="N360" s="14"/>
      <c r="O360" s="14"/>
      <c r="P360" s="14"/>
      <c r="Q360" s="42"/>
      <c r="R360" s="9"/>
      <c r="S360" s="9"/>
      <c r="T360" s="9"/>
      <c r="U360" s="9"/>
      <c r="V360" s="9"/>
      <c r="W360" s="9"/>
      <c r="X360" s="9"/>
      <c r="Y360" s="9"/>
    </row>
    <row r="361">
      <c r="A361" s="9"/>
      <c r="B361" s="9"/>
      <c r="C361" s="9"/>
      <c r="D361" s="9"/>
      <c r="E361" s="9"/>
      <c r="F361" s="9"/>
      <c r="G361" s="9"/>
      <c r="H361" s="9"/>
      <c r="I361" s="9"/>
      <c r="J361" s="9"/>
      <c r="K361" s="14"/>
      <c r="L361" s="14"/>
      <c r="M361" s="14"/>
      <c r="N361" s="14"/>
      <c r="O361" s="14"/>
      <c r="P361" s="14"/>
      <c r="Q361" s="42"/>
      <c r="R361" s="9"/>
      <c r="S361" s="9"/>
      <c r="T361" s="9"/>
      <c r="U361" s="9"/>
      <c r="V361" s="9"/>
      <c r="W361" s="9"/>
      <c r="X361" s="9"/>
      <c r="Y361" s="9"/>
    </row>
    <row r="362">
      <c r="A362" s="9"/>
      <c r="B362" s="9"/>
      <c r="C362" s="9"/>
      <c r="D362" s="9"/>
      <c r="E362" s="9"/>
      <c r="F362" s="9"/>
      <c r="G362" s="9"/>
      <c r="H362" s="9"/>
      <c r="I362" s="9"/>
      <c r="J362" s="9"/>
      <c r="K362" s="14"/>
      <c r="L362" s="14"/>
      <c r="M362" s="14"/>
      <c r="N362" s="14"/>
      <c r="O362" s="14"/>
      <c r="P362" s="14"/>
      <c r="Q362" s="42"/>
      <c r="R362" s="9"/>
      <c r="S362" s="9"/>
      <c r="T362" s="9"/>
      <c r="U362" s="9"/>
      <c r="V362" s="9"/>
      <c r="W362" s="9"/>
      <c r="X362" s="9"/>
      <c r="Y362" s="9"/>
    </row>
    <row r="363">
      <c r="A363" s="9"/>
      <c r="B363" s="9"/>
      <c r="C363" s="9"/>
      <c r="D363" s="9"/>
      <c r="E363" s="9"/>
      <c r="F363" s="9"/>
      <c r="G363" s="9"/>
      <c r="H363" s="9"/>
      <c r="I363" s="9"/>
      <c r="J363" s="9"/>
      <c r="K363" s="14"/>
      <c r="L363" s="14"/>
      <c r="M363" s="14"/>
      <c r="N363" s="14"/>
      <c r="O363" s="14"/>
      <c r="P363" s="14"/>
      <c r="Q363" s="42"/>
      <c r="R363" s="9"/>
      <c r="S363" s="9"/>
      <c r="T363" s="9"/>
      <c r="U363" s="9"/>
      <c r="V363" s="9"/>
      <c r="W363" s="9"/>
      <c r="X363" s="9"/>
      <c r="Y363" s="9"/>
    </row>
    <row r="364">
      <c r="A364" s="9"/>
      <c r="B364" s="9"/>
      <c r="C364" s="9"/>
      <c r="D364" s="9"/>
      <c r="E364" s="9"/>
      <c r="F364" s="9"/>
      <c r="G364" s="9"/>
      <c r="H364" s="9"/>
      <c r="I364" s="9"/>
      <c r="J364" s="9"/>
      <c r="K364" s="14"/>
      <c r="L364" s="14"/>
      <c r="M364" s="14"/>
      <c r="N364" s="14"/>
      <c r="O364" s="14"/>
      <c r="P364" s="14"/>
      <c r="Q364" s="42"/>
      <c r="R364" s="9"/>
      <c r="S364" s="9"/>
      <c r="T364" s="9"/>
      <c r="U364" s="9"/>
      <c r="V364" s="9"/>
      <c r="W364" s="9"/>
      <c r="X364" s="9"/>
      <c r="Y364" s="9"/>
    </row>
    <row r="365">
      <c r="A365" s="9"/>
      <c r="B365" s="9"/>
      <c r="C365" s="9"/>
      <c r="D365" s="9"/>
      <c r="E365" s="9"/>
      <c r="F365" s="9"/>
      <c r="G365" s="9"/>
      <c r="H365" s="9"/>
      <c r="I365" s="9"/>
      <c r="J365" s="9"/>
      <c r="K365" s="14"/>
      <c r="L365" s="14"/>
      <c r="M365" s="14"/>
      <c r="N365" s="14"/>
      <c r="O365" s="14"/>
      <c r="P365" s="14"/>
      <c r="Q365" s="42"/>
      <c r="R365" s="9"/>
      <c r="S365" s="9"/>
      <c r="T365" s="9"/>
      <c r="U365" s="9"/>
      <c r="V365" s="9"/>
      <c r="W365" s="9"/>
      <c r="X365" s="9"/>
      <c r="Y365" s="9"/>
    </row>
    <row r="366">
      <c r="A366" s="9"/>
      <c r="B366" s="9"/>
      <c r="C366" s="9"/>
      <c r="D366" s="9"/>
      <c r="E366" s="9"/>
      <c r="F366" s="9"/>
      <c r="G366" s="9"/>
      <c r="H366" s="9"/>
      <c r="I366" s="9"/>
      <c r="J366" s="9"/>
      <c r="K366" s="14"/>
      <c r="L366" s="14"/>
      <c r="M366" s="14"/>
      <c r="N366" s="14"/>
      <c r="O366" s="14"/>
      <c r="P366" s="14"/>
      <c r="Q366" s="42"/>
      <c r="R366" s="9"/>
      <c r="S366" s="9"/>
      <c r="T366" s="9"/>
      <c r="U366" s="9"/>
      <c r="V366" s="9"/>
      <c r="W366" s="9"/>
      <c r="X366" s="9"/>
      <c r="Y366" s="9"/>
    </row>
    <row r="367">
      <c r="A367" s="9"/>
      <c r="B367" s="9"/>
      <c r="C367" s="9"/>
      <c r="D367" s="9"/>
      <c r="E367" s="9"/>
      <c r="F367" s="9"/>
      <c r="G367" s="9"/>
      <c r="H367" s="9"/>
      <c r="I367" s="9"/>
      <c r="J367" s="9"/>
      <c r="K367" s="14"/>
      <c r="L367" s="14"/>
      <c r="M367" s="14"/>
      <c r="N367" s="14"/>
      <c r="O367" s="14"/>
      <c r="P367" s="14"/>
      <c r="Q367" s="42"/>
      <c r="R367" s="9"/>
      <c r="S367" s="9"/>
      <c r="T367" s="9"/>
      <c r="U367" s="9"/>
      <c r="V367" s="9"/>
      <c r="W367" s="9"/>
      <c r="X367" s="9"/>
      <c r="Y367" s="9"/>
    </row>
    <row r="368">
      <c r="A368" s="9"/>
      <c r="B368" s="9"/>
      <c r="C368" s="9"/>
      <c r="D368" s="9"/>
      <c r="E368" s="9"/>
      <c r="F368" s="9"/>
      <c r="G368" s="9"/>
      <c r="H368" s="9"/>
      <c r="I368" s="9"/>
      <c r="J368" s="9"/>
      <c r="K368" s="14"/>
      <c r="L368" s="14"/>
      <c r="M368" s="14"/>
      <c r="N368" s="14"/>
      <c r="O368" s="14"/>
      <c r="P368" s="14"/>
      <c r="Q368" s="42"/>
      <c r="R368" s="9"/>
      <c r="S368" s="9"/>
      <c r="T368" s="9"/>
      <c r="U368" s="9"/>
      <c r="V368" s="9"/>
      <c r="W368" s="9"/>
      <c r="X368" s="9"/>
      <c r="Y368" s="9"/>
    </row>
    <row r="369">
      <c r="A369" s="9"/>
      <c r="B369" s="9"/>
      <c r="C369" s="9"/>
      <c r="D369" s="9"/>
      <c r="E369" s="9"/>
      <c r="F369" s="9"/>
      <c r="G369" s="9"/>
      <c r="H369" s="9"/>
      <c r="I369" s="9"/>
      <c r="J369" s="9"/>
      <c r="K369" s="14"/>
      <c r="L369" s="14"/>
      <c r="M369" s="14"/>
      <c r="N369" s="14"/>
      <c r="O369" s="14"/>
      <c r="P369" s="14"/>
      <c r="Q369" s="42"/>
      <c r="R369" s="9"/>
      <c r="S369" s="9"/>
      <c r="T369" s="9"/>
      <c r="U369" s="9"/>
      <c r="V369" s="9"/>
      <c r="W369" s="9"/>
      <c r="X369" s="9"/>
      <c r="Y369" s="9"/>
    </row>
    <row r="370">
      <c r="A370" s="9"/>
      <c r="B370" s="9"/>
      <c r="C370" s="9"/>
      <c r="D370" s="9"/>
      <c r="E370" s="9"/>
      <c r="F370" s="9"/>
      <c r="G370" s="9"/>
      <c r="H370" s="9"/>
      <c r="I370" s="9"/>
      <c r="J370" s="9"/>
      <c r="K370" s="14"/>
      <c r="L370" s="14"/>
      <c r="M370" s="14"/>
      <c r="N370" s="14"/>
      <c r="O370" s="14"/>
      <c r="P370" s="14"/>
      <c r="Q370" s="42"/>
      <c r="R370" s="9"/>
      <c r="S370" s="9"/>
      <c r="T370" s="9"/>
      <c r="U370" s="9"/>
      <c r="V370" s="9"/>
      <c r="W370" s="9"/>
      <c r="X370" s="9"/>
      <c r="Y370" s="9"/>
    </row>
    <row r="371">
      <c r="A371" s="9"/>
      <c r="B371" s="9"/>
      <c r="C371" s="9"/>
      <c r="D371" s="9"/>
      <c r="E371" s="9"/>
      <c r="F371" s="9"/>
      <c r="G371" s="9"/>
      <c r="H371" s="9"/>
      <c r="I371" s="9"/>
      <c r="J371" s="9"/>
      <c r="K371" s="14"/>
      <c r="L371" s="14"/>
      <c r="M371" s="14"/>
      <c r="N371" s="14"/>
      <c r="O371" s="14"/>
      <c r="P371" s="14"/>
      <c r="Q371" s="42"/>
      <c r="R371" s="9"/>
      <c r="S371" s="9"/>
      <c r="T371" s="9"/>
      <c r="U371" s="9"/>
      <c r="V371" s="9"/>
      <c r="W371" s="9"/>
      <c r="X371" s="9"/>
      <c r="Y371" s="9"/>
    </row>
    <row r="372">
      <c r="A372" s="9"/>
      <c r="B372" s="9"/>
      <c r="C372" s="9"/>
      <c r="D372" s="9"/>
      <c r="E372" s="9"/>
      <c r="F372" s="9"/>
      <c r="G372" s="9"/>
      <c r="H372" s="9"/>
      <c r="I372" s="9"/>
      <c r="J372" s="9"/>
      <c r="K372" s="14"/>
      <c r="L372" s="14"/>
      <c r="M372" s="14"/>
      <c r="N372" s="14"/>
      <c r="O372" s="14"/>
      <c r="P372" s="14"/>
      <c r="Q372" s="42"/>
      <c r="R372" s="9"/>
      <c r="S372" s="9"/>
      <c r="T372" s="9"/>
      <c r="U372" s="9"/>
      <c r="V372" s="9"/>
      <c r="W372" s="9"/>
      <c r="X372" s="9"/>
      <c r="Y372" s="9"/>
    </row>
    <row r="373">
      <c r="A373" s="9"/>
      <c r="B373" s="9"/>
      <c r="C373" s="9"/>
      <c r="D373" s="9"/>
      <c r="E373" s="9"/>
      <c r="F373" s="9"/>
      <c r="G373" s="9"/>
      <c r="H373" s="9"/>
      <c r="I373" s="9"/>
      <c r="J373" s="9"/>
      <c r="K373" s="14"/>
      <c r="L373" s="14"/>
      <c r="M373" s="14"/>
      <c r="N373" s="14"/>
      <c r="O373" s="14"/>
      <c r="P373" s="14"/>
      <c r="Q373" s="42"/>
      <c r="R373" s="9"/>
      <c r="S373" s="9"/>
      <c r="T373" s="9"/>
      <c r="U373" s="9"/>
      <c r="V373" s="9"/>
      <c r="W373" s="9"/>
      <c r="X373" s="9"/>
      <c r="Y373" s="9"/>
    </row>
    <row r="374">
      <c r="A374" s="9"/>
      <c r="B374" s="9"/>
      <c r="C374" s="9"/>
      <c r="D374" s="9"/>
      <c r="E374" s="9"/>
      <c r="F374" s="9"/>
      <c r="G374" s="9"/>
      <c r="H374" s="9"/>
      <c r="I374" s="9"/>
      <c r="J374" s="9"/>
      <c r="K374" s="14"/>
      <c r="L374" s="14"/>
      <c r="M374" s="14"/>
      <c r="N374" s="14"/>
      <c r="O374" s="14"/>
      <c r="P374" s="14"/>
      <c r="Q374" s="42"/>
      <c r="R374" s="9"/>
      <c r="S374" s="9"/>
      <c r="T374" s="9"/>
      <c r="U374" s="9"/>
      <c r="V374" s="9"/>
      <c r="W374" s="9"/>
      <c r="X374" s="9"/>
      <c r="Y374" s="9"/>
    </row>
    <row r="375">
      <c r="A375" s="9"/>
      <c r="B375" s="9"/>
      <c r="C375" s="9"/>
      <c r="D375" s="9"/>
      <c r="E375" s="9"/>
      <c r="F375" s="9"/>
      <c r="G375" s="9"/>
      <c r="H375" s="9"/>
      <c r="I375" s="9"/>
      <c r="J375" s="9"/>
      <c r="K375" s="14"/>
      <c r="L375" s="14"/>
      <c r="M375" s="14"/>
      <c r="N375" s="14"/>
      <c r="O375" s="14"/>
      <c r="P375" s="14"/>
      <c r="Q375" s="42"/>
      <c r="R375" s="9"/>
      <c r="S375" s="9"/>
      <c r="T375" s="9"/>
      <c r="U375" s="9"/>
      <c r="V375" s="9"/>
      <c r="W375" s="9"/>
      <c r="X375" s="9"/>
      <c r="Y375" s="9"/>
    </row>
    <row r="376">
      <c r="A376" s="9"/>
      <c r="B376" s="9"/>
      <c r="C376" s="9"/>
      <c r="D376" s="9"/>
      <c r="E376" s="9"/>
      <c r="F376" s="9"/>
      <c r="G376" s="9"/>
      <c r="H376" s="9"/>
      <c r="I376" s="9"/>
      <c r="J376" s="9"/>
      <c r="K376" s="14"/>
      <c r="L376" s="14"/>
      <c r="M376" s="14"/>
      <c r="N376" s="14"/>
      <c r="O376" s="14"/>
      <c r="P376" s="14"/>
      <c r="Q376" s="42"/>
      <c r="R376" s="9"/>
      <c r="S376" s="9"/>
      <c r="T376" s="9"/>
      <c r="U376" s="9"/>
      <c r="V376" s="9"/>
      <c r="W376" s="9"/>
      <c r="X376" s="9"/>
      <c r="Y376" s="9"/>
    </row>
    <row r="377">
      <c r="A377" s="9"/>
      <c r="B377" s="9"/>
      <c r="C377" s="9"/>
      <c r="D377" s="9"/>
      <c r="E377" s="9"/>
      <c r="F377" s="9"/>
      <c r="G377" s="9"/>
      <c r="H377" s="9"/>
      <c r="I377" s="9"/>
      <c r="J377" s="9"/>
      <c r="K377" s="14"/>
      <c r="L377" s="14"/>
      <c r="M377" s="14"/>
      <c r="N377" s="14"/>
      <c r="O377" s="14"/>
      <c r="P377" s="14"/>
      <c r="Q377" s="42"/>
      <c r="R377" s="9"/>
      <c r="S377" s="9"/>
      <c r="T377" s="9"/>
      <c r="U377" s="9"/>
      <c r="V377" s="9"/>
      <c r="W377" s="9"/>
      <c r="X377" s="9"/>
      <c r="Y377" s="9"/>
    </row>
    <row r="378">
      <c r="A378" s="9"/>
      <c r="B378" s="9"/>
      <c r="C378" s="9"/>
      <c r="D378" s="9"/>
      <c r="E378" s="9"/>
      <c r="F378" s="9"/>
      <c r="G378" s="9"/>
      <c r="H378" s="9"/>
      <c r="I378" s="9"/>
      <c r="J378" s="9"/>
      <c r="K378" s="14"/>
      <c r="L378" s="14"/>
      <c r="M378" s="14"/>
      <c r="N378" s="14"/>
      <c r="O378" s="14"/>
      <c r="P378" s="14"/>
      <c r="Q378" s="42"/>
      <c r="R378" s="9"/>
      <c r="S378" s="9"/>
      <c r="T378" s="9"/>
      <c r="U378" s="9"/>
      <c r="V378" s="9"/>
      <c r="W378" s="9"/>
      <c r="X378" s="9"/>
      <c r="Y378" s="9"/>
    </row>
    <row r="379">
      <c r="A379" s="9"/>
      <c r="B379" s="9"/>
      <c r="C379" s="9"/>
      <c r="D379" s="9"/>
      <c r="E379" s="9"/>
      <c r="F379" s="9"/>
      <c r="G379" s="9"/>
      <c r="H379" s="9"/>
      <c r="I379" s="9"/>
      <c r="J379" s="9"/>
      <c r="K379" s="14"/>
      <c r="L379" s="14"/>
      <c r="M379" s="14"/>
      <c r="N379" s="14"/>
      <c r="O379" s="14"/>
      <c r="P379" s="14"/>
      <c r="Q379" s="42"/>
      <c r="R379" s="9"/>
      <c r="S379" s="9"/>
      <c r="T379" s="9"/>
      <c r="U379" s="9"/>
      <c r="V379" s="9"/>
      <c r="W379" s="9"/>
      <c r="X379" s="9"/>
      <c r="Y379" s="9"/>
    </row>
    <row r="380">
      <c r="A380" s="9"/>
      <c r="B380" s="9"/>
      <c r="C380" s="9"/>
      <c r="D380" s="9"/>
      <c r="E380" s="9"/>
      <c r="F380" s="9"/>
      <c r="G380" s="9"/>
      <c r="H380" s="9"/>
      <c r="I380" s="9"/>
      <c r="J380" s="9"/>
      <c r="K380" s="14"/>
      <c r="L380" s="14"/>
      <c r="M380" s="14"/>
      <c r="N380" s="14"/>
      <c r="O380" s="14"/>
      <c r="P380" s="14"/>
      <c r="Q380" s="42"/>
      <c r="R380" s="9"/>
      <c r="S380" s="9"/>
      <c r="T380" s="9"/>
      <c r="U380" s="9"/>
      <c r="V380" s="9"/>
      <c r="W380" s="9"/>
      <c r="X380" s="9"/>
      <c r="Y380" s="9"/>
    </row>
    <row r="381">
      <c r="A381" s="9"/>
      <c r="B381" s="9"/>
      <c r="C381" s="9"/>
      <c r="D381" s="9"/>
      <c r="E381" s="9"/>
      <c r="F381" s="9"/>
      <c r="G381" s="9"/>
      <c r="H381" s="9"/>
      <c r="I381" s="9"/>
      <c r="J381" s="9"/>
      <c r="K381" s="14"/>
      <c r="L381" s="14"/>
      <c r="M381" s="14"/>
      <c r="N381" s="14"/>
      <c r="O381" s="14"/>
      <c r="P381" s="14"/>
      <c r="Q381" s="42"/>
      <c r="R381" s="9"/>
      <c r="S381" s="9"/>
      <c r="T381" s="9"/>
      <c r="U381" s="9"/>
      <c r="V381" s="9"/>
      <c r="W381" s="9"/>
      <c r="X381" s="9"/>
      <c r="Y381" s="9"/>
    </row>
    <row r="382">
      <c r="A382" s="9"/>
      <c r="B382" s="9"/>
      <c r="C382" s="9"/>
      <c r="D382" s="9"/>
      <c r="E382" s="9"/>
      <c r="F382" s="9"/>
      <c r="G382" s="9"/>
      <c r="H382" s="9"/>
      <c r="I382" s="9"/>
      <c r="J382" s="9"/>
      <c r="K382" s="14"/>
      <c r="L382" s="14"/>
      <c r="M382" s="14"/>
      <c r="N382" s="14"/>
      <c r="O382" s="14"/>
      <c r="P382" s="14"/>
      <c r="Q382" s="42"/>
      <c r="R382" s="9"/>
      <c r="S382" s="9"/>
      <c r="T382" s="9"/>
      <c r="U382" s="9"/>
      <c r="V382" s="9"/>
      <c r="W382" s="9"/>
      <c r="X382" s="9"/>
      <c r="Y382" s="9"/>
    </row>
    <row r="383">
      <c r="A383" s="9"/>
      <c r="B383" s="9"/>
      <c r="C383" s="9"/>
      <c r="D383" s="9"/>
      <c r="E383" s="9"/>
      <c r="F383" s="9"/>
      <c r="G383" s="9"/>
      <c r="H383" s="9"/>
      <c r="I383" s="9"/>
      <c r="J383" s="9"/>
      <c r="K383" s="14"/>
      <c r="L383" s="14"/>
      <c r="M383" s="14"/>
      <c r="N383" s="14"/>
      <c r="O383" s="14"/>
      <c r="P383" s="14"/>
      <c r="Q383" s="42"/>
      <c r="R383" s="9"/>
      <c r="S383" s="9"/>
      <c r="T383" s="9"/>
      <c r="U383" s="9"/>
      <c r="V383" s="9"/>
      <c r="W383" s="9"/>
      <c r="X383" s="9"/>
      <c r="Y383" s="9"/>
    </row>
    <row r="384">
      <c r="A384" s="9"/>
      <c r="B384" s="9"/>
      <c r="C384" s="9"/>
      <c r="D384" s="9"/>
      <c r="E384" s="9"/>
      <c r="F384" s="9"/>
      <c r="G384" s="9"/>
      <c r="H384" s="9"/>
      <c r="I384" s="9"/>
      <c r="J384" s="9"/>
      <c r="K384" s="14"/>
      <c r="L384" s="14"/>
      <c r="M384" s="14"/>
      <c r="N384" s="14"/>
      <c r="O384" s="14"/>
      <c r="P384" s="14"/>
      <c r="Q384" s="42"/>
      <c r="R384" s="9"/>
      <c r="S384" s="9"/>
      <c r="T384" s="9"/>
      <c r="U384" s="9"/>
      <c r="V384" s="9"/>
      <c r="W384" s="9"/>
      <c r="X384" s="9"/>
      <c r="Y384" s="9"/>
    </row>
    <row r="385">
      <c r="A385" s="9"/>
      <c r="B385" s="9"/>
      <c r="C385" s="9"/>
      <c r="D385" s="9"/>
      <c r="E385" s="9"/>
      <c r="F385" s="9"/>
      <c r="G385" s="9"/>
      <c r="H385" s="9"/>
      <c r="I385" s="9"/>
      <c r="J385" s="9"/>
      <c r="K385" s="14"/>
      <c r="L385" s="14"/>
      <c r="M385" s="14"/>
      <c r="N385" s="14"/>
      <c r="O385" s="14"/>
      <c r="P385" s="14"/>
      <c r="Q385" s="42"/>
      <c r="R385" s="9"/>
      <c r="S385" s="9"/>
      <c r="T385" s="9"/>
      <c r="U385" s="9"/>
      <c r="V385" s="9"/>
      <c r="W385" s="9"/>
      <c r="X385" s="9"/>
      <c r="Y385" s="9"/>
    </row>
    <row r="386">
      <c r="A386" s="9"/>
      <c r="B386" s="9"/>
      <c r="C386" s="9"/>
      <c r="D386" s="9"/>
      <c r="E386" s="9"/>
      <c r="F386" s="9"/>
      <c r="G386" s="9"/>
      <c r="H386" s="9"/>
      <c r="I386" s="9"/>
      <c r="J386" s="9"/>
      <c r="K386" s="14"/>
      <c r="L386" s="14"/>
      <c r="M386" s="14"/>
      <c r="N386" s="14"/>
      <c r="O386" s="14"/>
      <c r="P386" s="14"/>
      <c r="Q386" s="42"/>
      <c r="R386" s="9"/>
      <c r="S386" s="9"/>
      <c r="T386" s="9"/>
      <c r="U386" s="9"/>
      <c r="V386" s="9"/>
      <c r="W386" s="9"/>
      <c r="X386" s="9"/>
      <c r="Y386" s="9"/>
    </row>
    <row r="387">
      <c r="A387" s="9"/>
      <c r="B387" s="9"/>
      <c r="C387" s="9"/>
      <c r="D387" s="9"/>
      <c r="E387" s="9"/>
      <c r="F387" s="9"/>
      <c r="G387" s="9"/>
      <c r="H387" s="9"/>
      <c r="I387" s="9"/>
      <c r="J387" s="9"/>
      <c r="K387" s="14"/>
      <c r="L387" s="14"/>
      <c r="M387" s="14"/>
      <c r="N387" s="14"/>
      <c r="O387" s="14"/>
      <c r="P387" s="14"/>
      <c r="Q387" s="42"/>
      <c r="R387" s="9"/>
      <c r="S387" s="9"/>
      <c r="T387" s="9"/>
      <c r="U387" s="9"/>
      <c r="V387" s="9"/>
      <c r="W387" s="9"/>
      <c r="X387" s="9"/>
      <c r="Y387" s="9"/>
    </row>
    <row r="388">
      <c r="A388" s="9"/>
      <c r="B388" s="9"/>
      <c r="C388" s="9"/>
      <c r="D388" s="9"/>
      <c r="E388" s="9"/>
      <c r="F388" s="9"/>
      <c r="G388" s="9"/>
      <c r="H388" s="9"/>
      <c r="I388" s="9"/>
      <c r="J388" s="9"/>
      <c r="K388" s="14"/>
      <c r="L388" s="14"/>
      <c r="M388" s="14"/>
      <c r="N388" s="14"/>
      <c r="O388" s="14"/>
      <c r="P388" s="14"/>
      <c r="Q388" s="42"/>
      <c r="R388" s="9"/>
      <c r="S388" s="9"/>
      <c r="T388" s="9"/>
      <c r="U388" s="9"/>
      <c r="V388" s="9"/>
      <c r="W388" s="9"/>
      <c r="X388" s="9"/>
      <c r="Y388" s="9"/>
    </row>
    <row r="389">
      <c r="A389" s="9"/>
      <c r="B389" s="9"/>
      <c r="C389" s="9"/>
      <c r="D389" s="9"/>
      <c r="E389" s="9"/>
      <c r="F389" s="9"/>
      <c r="G389" s="9"/>
      <c r="H389" s="9"/>
      <c r="I389" s="9"/>
      <c r="J389" s="9"/>
      <c r="K389" s="14"/>
      <c r="L389" s="14"/>
      <c r="M389" s="14"/>
      <c r="N389" s="14"/>
      <c r="O389" s="14"/>
      <c r="P389" s="14"/>
      <c r="Q389" s="42"/>
      <c r="R389" s="9"/>
      <c r="S389" s="9"/>
      <c r="T389" s="9"/>
      <c r="U389" s="9"/>
      <c r="V389" s="9"/>
      <c r="W389" s="9"/>
      <c r="X389" s="9"/>
      <c r="Y389" s="9"/>
    </row>
    <row r="390">
      <c r="A390" s="9"/>
      <c r="B390" s="9"/>
      <c r="C390" s="9"/>
      <c r="D390" s="9"/>
      <c r="E390" s="9"/>
      <c r="F390" s="9"/>
      <c r="G390" s="9"/>
      <c r="H390" s="9"/>
      <c r="I390" s="9"/>
      <c r="J390" s="9"/>
      <c r="K390" s="14"/>
      <c r="L390" s="14"/>
      <c r="M390" s="14"/>
      <c r="N390" s="14"/>
      <c r="O390" s="14"/>
      <c r="P390" s="14"/>
      <c r="Q390" s="42"/>
      <c r="R390" s="9"/>
      <c r="S390" s="9"/>
      <c r="T390" s="9"/>
      <c r="U390" s="9"/>
      <c r="V390" s="9"/>
      <c r="W390" s="9"/>
      <c r="X390" s="9"/>
      <c r="Y390" s="9"/>
    </row>
    <row r="391">
      <c r="A391" s="9"/>
      <c r="B391" s="9"/>
      <c r="C391" s="9"/>
      <c r="D391" s="9"/>
      <c r="E391" s="9"/>
      <c r="F391" s="9"/>
      <c r="G391" s="9"/>
      <c r="H391" s="9"/>
      <c r="I391" s="9"/>
      <c r="J391" s="9"/>
      <c r="K391" s="14"/>
      <c r="L391" s="14"/>
      <c r="M391" s="14"/>
      <c r="N391" s="14"/>
      <c r="O391" s="14"/>
      <c r="P391" s="14"/>
      <c r="Q391" s="42"/>
      <c r="R391" s="9"/>
      <c r="S391" s="9"/>
      <c r="T391" s="9"/>
      <c r="U391" s="9"/>
      <c r="V391" s="9"/>
      <c r="W391" s="9"/>
      <c r="X391" s="9"/>
      <c r="Y391" s="9"/>
    </row>
    <row r="392">
      <c r="A392" s="9"/>
      <c r="B392" s="9"/>
      <c r="C392" s="9"/>
      <c r="D392" s="9"/>
      <c r="E392" s="9"/>
      <c r="F392" s="9"/>
      <c r="G392" s="9"/>
      <c r="H392" s="9"/>
      <c r="I392" s="9"/>
      <c r="J392" s="9"/>
      <c r="K392" s="14"/>
      <c r="L392" s="14"/>
      <c r="M392" s="14"/>
      <c r="N392" s="14"/>
      <c r="O392" s="14"/>
      <c r="P392" s="14"/>
      <c r="Q392" s="42"/>
      <c r="R392" s="9"/>
      <c r="S392" s="9"/>
      <c r="T392" s="9"/>
      <c r="U392" s="9"/>
      <c r="V392" s="9"/>
      <c r="W392" s="9"/>
      <c r="X392" s="9"/>
      <c r="Y392" s="9"/>
    </row>
    <row r="393">
      <c r="A393" s="9"/>
      <c r="B393" s="9"/>
      <c r="C393" s="9"/>
      <c r="D393" s="9"/>
      <c r="E393" s="9"/>
      <c r="F393" s="9"/>
      <c r="G393" s="9"/>
      <c r="H393" s="9"/>
      <c r="I393" s="9"/>
      <c r="J393" s="9"/>
      <c r="K393" s="14"/>
      <c r="L393" s="14"/>
      <c r="M393" s="14"/>
      <c r="N393" s="14"/>
      <c r="O393" s="14"/>
      <c r="P393" s="14"/>
      <c r="Q393" s="42"/>
      <c r="R393" s="9"/>
      <c r="S393" s="9"/>
      <c r="T393" s="9"/>
      <c r="U393" s="9"/>
      <c r="V393" s="9"/>
      <c r="W393" s="9"/>
      <c r="X393" s="9"/>
      <c r="Y393" s="9"/>
    </row>
    <row r="394">
      <c r="A394" s="9"/>
      <c r="B394" s="9"/>
      <c r="C394" s="9"/>
      <c r="D394" s="9"/>
      <c r="E394" s="9"/>
      <c r="F394" s="9"/>
      <c r="G394" s="9"/>
      <c r="H394" s="9"/>
      <c r="I394" s="9"/>
      <c r="J394" s="9"/>
      <c r="K394" s="14"/>
      <c r="L394" s="14"/>
      <c r="M394" s="14"/>
      <c r="N394" s="14"/>
      <c r="O394" s="14"/>
      <c r="P394" s="14"/>
      <c r="Q394" s="42"/>
      <c r="R394" s="9"/>
      <c r="S394" s="9"/>
      <c r="T394" s="9"/>
      <c r="U394" s="9"/>
      <c r="V394" s="9"/>
      <c r="W394" s="9"/>
      <c r="X394" s="9"/>
      <c r="Y394" s="9"/>
    </row>
    <row r="395">
      <c r="A395" s="9"/>
      <c r="B395" s="9"/>
      <c r="C395" s="9"/>
      <c r="D395" s="9"/>
      <c r="E395" s="9"/>
      <c r="F395" s="9"/>
      <c r="G395" s="9"/>
      <c r="H395" s="9"/>
      <c r="I395" s="9"/>
      <c r="J395" s="9"/>
      <c r="K395" s="14"/>
      <c r="L395" s="14"/>
      <c r="M395" s="14"/>
      <c r="N395" s="14"/>
      <c r="O395" s="14"/>
      <c r="P395" s="14"/>
      <c r="Q395" s="42"/>
      <c r="R395" s="9"/>
      <c r="S395" s="9"/>
      <c r="T395" s="9"/>
      <c r="U395" s="9"/>
      <c r="V395" s="9"/>
      <c r="W395" s="9"/>
      <c r="X395" s="9"/>
      <c r="Y395" s="9"/>
    </row>
    <row r="396">
      <c r="A396" s="9"/>
      <c r="B396" s="9"/>
      <c r="C396" s="9"/>
      <c r="D396" s="9"/>
      <c r="E396" s="9"/>
      <c r="F396" s="9"/>
      <c r="G396" s="9"/>
      <c r="H396" s="9"/>
      <c r="I396" s="9"/>
      <c r="J396" s="9"/>
      <c r="K396" s="14"/>
      <c r="L396" s="14"/>
      <c r="M396" s="14"/>
      <c r="N396" s="14"/>
      <c r="O396" s="14"/>
      <c r="P396" s="14"/>
      <c r="Q396" s="42"/>
      <c r="R396" s="9"/>
      <c r="S396" s="9"/>
      <c r="T396" s="9"/>
      <c r="U396" s="9"/>
      <c r="V396" s="9"/>
      <c r="W396" s="9"/>
      <c r="X396" s="9"/>
      <c r="Y396" s="9"/>
    </row>
    <row r="397">
      <c r="A397" s="9"/>
      <c r="B397" s="9"/>
      <c r="C397" s="9"/>
      <c r="D397" s="9"/>
      <c r="E397" s="9"/>
      <c r="F397" s="9"/>
      <c r="G397" s="9"/>
      <c r="H397" s="9"/>
      <c r="I397" s="9"/>
      <c r="J397" s="9"/>
      <c r="K397" s="14"/>
      <c r="L397" s="14"/>
      <c r="M397" s="14"/>
      <c r="N397" s="14"/>
      <c r="O397" s="14"/>
      <c r="P397" s="14"/>
      <c r="Q397" s="42"/>
      <c r="R397" s="9"/>
      <c r="S397" s="9"/>
      <c r="T397" s="9"/>
      <c r="U397" s="9"/>
      <c r="V397" s="9"/>
      <c r="W397" s="9"/>
      <c r="X397" s="9"/>
      <c r="Y397" s="9"/>
    </row>
    <row r="398">
      <c r="A398" s="9"/>
      <c r="B398" s="9"/>
      <c r="C398" s="9"/>
      <c r="D398" s="9"/>
      <c r="E398" s="9"/>
      <c r="F398" s="9"/>
      <c r="G398" s="9"/>
      <c r="H398" s="9"/>
      <c r="I398" s="9"/>
      <c r="J398" s="9"/>
      <c r="K398" s="14"/>
      <c r="L398" s="14"/>
      <c r="M398" s="14"/>
      <c r="N398" s="14"/>
      <c r="O398" s="14"/>
      <c r="P398" s="14"/>
      <c r="Q398" s="42"/>
      <c r="R398" s="9"/>
      <c r="S398" s="9"/>
      <c r="T398" s="9"/>
      <c r="U398" s="9"/>
      <c r="V398" s="9"/>
      <c r="W398" s="9"/>
      <c r="X398" s="9"/>
      <c r="Y398" s="9"/>
    </row>
    <row r="399">
      <c r="A399" s="9"/>
      <c r="B399" s="9"/>
      <c r="C399" s="9"/>
      <c r="D399" s="9"/>
      <c r="E399" s="9"/>
      <c r="F399" s="9"/>
      <c r="G399" s="9"/>
      <c r="H399" s="9"/>
      <c r="I399" s="9"/>
      <c r="J399" s="9"/>
      <c r="K399" s="14"/>
      <c r="L399" s="14"/>
      <c r="M399" s="14"/>
      <c r="N399" s="14"/>
      <c r="O399" s="14"/>
      <c r="P399" s="14"/>
      <c r="Q399" s="42"/>
      <c r="R399" s="9"/>
      <c r="S399" s="9"/>
      <c r="T399" s="9"/>
      <c r="U399" s="9"/>
      <c r="V399" s="9"/>
      <c r="W399" s="9"/>
      <c r="X399" s="9"/>
      <c r="Y399" s="9"/>
    </row>
    <row r="400">
      <c r="A400" s="9"/>
      <c r="B400" s="9"/>
      <c r="C400" s="9"/>
      <c r="D400" s="9"/>
      <c r="E400" s="9"/>
      <c r="F400" s="9"/>
      <c r="G400" s="9"/>
      <c r="H400" s="9"/>
      <c r="I400" s="9"/>
      <c r="J400" s="9"/>
      <c r="K400" s="14"/>
      <c r="L400" s="14"/>
      <c r="M400" s="14"/>
      <c r="N400" s="14"/>
      <c r="O400" s="14"/>
      <c r="P400" s="14"/>
      <c r="Q400" s="42"/>
      <c r="R400" s="9"/>
      <c r="S400" s="9"/>
      <c r="T400" s="9"/>
      <c r="U400" s="9"/>
      <c r="V400" s="9"/>
      <c r="W400" s="9"/>
      <c r="X400" s="9"/>
      <c r="Y400" s="9"/>
    </row>
    <row r="401">
      <c r="A401" s="9"/>
      <c r="B401" s="9"/>
      <c r="C401" s="9"/>
      <c r="D401" s="9"/>
      <c r="E401" s="9"/>
      <c r="F401" s="9"/>
      <c r="G401" s="9"/>
      <c r="H401" s="9"/>
      <c r="I401" s="9"/>
      <c r="J401" s="9"/>
      <c r="K401" s="14"/>
      <c r="L401" s="14"/>
      <c r="M401" s="14"/>
      <c r="N401" s="14"/>
      <c r="O401" s="14"/>
      <c r="P401" s="14"/>
      <c r="Q401" s="42"/>
      <c r="R401" s="9"/>
      <c r="S401" s="9"/>
      <c r="T401" s="9"/>
      <c r="U401" s="9"/>
      <c r="V401" s="9"/>
      <c r="W401" s="9"/>
      <c r="X401" s="9"/>
      <c r="Y401" s="9"/>
    </row>
    <row r="402">
      <c r="A402" s="9"/>
      <c r="B402" s="9"/>
      <c r="C402" s="9"/>
      <c r="D402" s="9"/>
      <c r="E402" s="9"/>
      <c r="F402" s="9"/>
      <c r="G402" s="9"/>
      <c r="H402" s="9"/>
      <c r="I402" s="9"/>
      <c r="J402" s="9"/>
      <c r="K402" s="14"/>
      <c r="L402" s="14"/>
      <c r="M402" s="14"/>
      <c r="N402" s="14"/>
      <c r="O402" s="14"/>
      <c r="P402" s="14"/>
      <c r="Q402" s="42"/>
      <c r="R402" s="9"/>
      <c r="S402" s="9"/>
      <c r="T402" s="9"/>
      <c r="U402" s="9"/>
      <c r="V402" s="9"/>
      <c r="W402" s="9"/>
      <c r="X402" s="9"/>
      <c r="Y402" s="9"/>
    </row>
    <row r="403">
      <c r="A403" s="9"/>
      <c r="B403" s="9"/>
      <c r="C403" s="9"/>
      <c r="D403" s="9"/>
      <c r="E403" s="9"/>
      <c r="F403" s="9"/>
      <c r="G403" s="9"/>
      <c r="H403" s="9"/>
      <c r="I403" s="9"/>
      <c r="J403" s="9"/>
      <c r="K403" s="14"/>
      <c r="L403" s="14"/>
      <c r="M403" s="14"/>
      <c r="N403" s="14"/>
      <c r="O403" s="14"/>
      <c r="P403" s="14"/>
      <c r="Q403" s="42"/>
      <c r="R403" s="9"/>
      <c r="S403" s="9"/>
      <c r="T403" s="9"/>
      <c r="U403" s="9"/>
      <c r="V403" s="9"/>
      <c r="W403" s="9"/>
      <c r="X403" s="9"/>
      <c r="Y403" s="9"/>
    </row>
    <row r="404">
      <c r="A404" s="9"/>
      <c r="B404" s="9"/>
      <c r="C404" s="9"/>
      <c r="D404" s="9"/>
      <c r="E404" s="9"/>
      <c r="F404" s="9"/>
      <c r="G404" s="9"/>
      <c r="H404" s="9"/>
      <c r="I404" s="9"/>
      <c r="J404" s="9"/>
      <c r="K404" s="14"/>
      <c r="L404" s="14"/>
      <c r="M404" s="14"/>
      <c r="N404" s="14"/>
      <c r="O404" s="14"/>
      <c r="P404" s="14"/>
      <c r="Q404" s="42"/>
      <c r="R404" s="9"/>
      <c r="S404" s="9"/>
      <c r="T404" s="9"/>
      <c r="U404" s="9"/>
      <c r="V404" s="9"/>
      <c r="W404" s="9"/>
      <c r="X404" s="9"/>
      <c r="Y404" s="9"/>
    </row>
    <row r="405">
      <c r="A405" s="9"/>
      <c r="B405" s="9"/>
      <c r="C405" s="9"/>
      <c r="D405" s="9"/>
      <c r="E405" s="9"/>
      <c r="F405" s="9"/>
      <c r="G405" s="9"/>
      <c r="H405" s="9"/>
      <c r="I405" s="9"/>
      <c r="J405" s="9"/>
      <c r="K405" s="14"/>
      <c r="L405" s="14"/>
      <c r="M405" s="14"/>
      <c r="N405" s="14"/>
      <c r="O405" s="14"/>
      <c r="P405" s="14"/>
      <c r="Q405" s="42"/>
      <c r="R405" s="9"/>
      <c r="S405" s="9"/>
      <c r="T405" s="9"/>
      <c r="U405" s="9"/>
      <c r="V405" s="9"/>
      <c r="W405" s="9"/>
      <c r="X405" s="9"/>
      <c r="Y405" s="9"/>
    </row>
    <row r="406">
      <c r="A406" s="9"/>
      <c r="B406" s="9"/>
      <c r="C406" s="9"/>
      <c r="D406" s="9"/>
      <c r="E406" s="9"/>
      <c r="F406" s="9"/>
      <c r="G406" s="9"/>
      <c r="H406" s="9"/>
      <c r="I406" s="9"/>
      <c r="J406" s="9"/>
      <c r="K406" s="14"/>
      <c r="L406" s="14"/>
      <c r="M406" s="14"/>
      <c r="N406" s="14"/>
      <c r="O406" s="14"/>
      <c r="P406" s="14"/>
      <c r="Q406" s="42"/>
      <c r="R406" s="9"/>
      <c r="S406" s="9"/>
      <c r="T406" s="9"/>
      <c r="U406" s="9"/>
      <c r="V406" s="9"/>
      <c r="W406" s="9"/>
      <c r="X406" s="9"/>
      <c r="Y406" s="9"/>
    </row>
    <row r="407">
      <c r="A407" s="9"/>
      <c r="B407" s="9"/>
      <c r="C407" s="9"/>
      <c r="D407" s="9"/>
      <c r="E407" s="9"/>
      <c r="F407" s="9"/>
      <c r="G407" s="9"/>
      <c r="H407" s="9"/>
      <c r="I407" s="9"/>
      <c r="J407" s="9"/>
      <c r="K407" s="14"/>
      <c r="L407" s="14"/>
      <c r="M407" s="14"/>
      <c r="N407" s="14"/>
      <c r="O407" s="14"/>
      <c r="P407" s="14"/>
      <c r="Q407" s="42"/>
      <c r="R407" s="9"/>
      <c r="S407" s="9"/>
      <c r="T407" s="9"/>
      <c r="U407" s="9"/>
      <c r="V407" s="9"/>
      <c r="W407" s="9"/>
      <c r="X407" s="9"/>
      <c r="Y407" s="9"/>
    </row>
    <row r="408">
      <c r="A408" s="9"/>
      <c r="B408" s="9"/>
      <c r="C408" s="9"/>
      <c r="D408" s="9"/>
      <c r="E408" s="9"/>
      <c r="F408" s="9"/>
      <c r="G408" s="9"/>
      <c r="H408" s="9"/>
      <c r="I408" s="9"/>
      <c r="J408" s="9"/>
      <c r="K408" s="14"/>
      <c r="L408" s="14"/>
      <c r="M408" s="14"/>
      <c r="N408" s="14"/>
      <c r="O408" s="14"/>
      <c r="P408" s="14"/>
      <c r="Q408" s="42"/>
      <c r="R408" s="9"/>
      <c r="S408" s="9"/>
      <c r="T408" s="9"/>
      <c r="U408" s="9"/>
      <c r="V408" s="9"/>
      <c r="W408" s="9"/>
      <c r="X408" s="9"/>
      <c r="Y408" s="9"/>
    </row>
    <row r="409">
      <c r="A409" s="9"/>
      <c r="B409" s="9"/>
      <c r="C409" s="9"/>
      <c r="D409" s="9"/>
      <c r="E409" s="9"/>
      <c r="F409" s="9"/>
      <c r="G409" s="9"/>
      <c r="H409" s="9"/>
      <c r="I409" s="9"/>
      <c r="J409" s="9"/>
      <c r="K409" s="14"/>
      <c r="L409" s="14"/>
      <c r="M409" s="14"/>
      <c r="N409" s="14"/>
      <c r="O409" s="14"/>
      <c r="P409" s="14"/>
      <c r="Q409" s="42"/>
      <c r="R409" s="9"/>
      <c r="S409" s="9"/>
      <c r="T409" s="9"/>
      <c r="U409" s="9"/>
      <c r="V409" s="9"/>
      <c r="W409" s="9"/>
      <c r="X409" s="9"/>
      <c r="Y409" s="9"/>
    </row>
    <row r="410">
      <c r="A410" s="9"/>
      <c r="B410" s="9"/>
      <c r="C410" s="9"/>
      <c r="D410" s="9"/>
      <c r="E410" s="9"/>
      <c r="F410" s="9"/>
      <c r="G410" s="9"/>
      <c r="H410" s="9"/>
      <c r="I410" s="9"/>
      <c r="J410" s="9"/>
      <c r="K410" s="14"/>
      <c r="L410" s="14"/>
      <c r="M410" s="14"/>
      <c r="N410" s="14"/>
      <c r="O410" s="14"/>
      <c r="P410" s="14"/>
      <c r="Q410" s="42"/>
      <c r="R410" s="9"/>
      <c r="S410" s="9"/>
      <c r="T410" s="9"/>
      <c r="U410" s="9"/>
      <c r="V410" s="9"/>
      <c r="W410" s="9"/>
      <c r="X410" s="9"/>
      <c r="Y410" s="9"/>
    </row>
    <row r="411">
      <c r="A411" s="9"/>
      <c r="B411" s="9"/>
      <c r="C411" s="9"/>
      <c r="D411" s="9"/>
      <c r="E411" s="9"/>
      <c r="F411" s="9"/>
      <c r="G411" s="9"/>
      <c r="H411" s="9"/>
      <c r="I411" s="9"/>
      <c r="J411" s="9"/>
      <c r="K411" s="14"/>
      <c r="L411" s="14"/>
      <c r="M411" s="14"/>
      <c r="N411" s="14"/>
      <c r="O411" s="14"/>
      <c r="P411" s="14"/>
      <c r="Q411" s="42"/>
      <c r="R411" s="9"/>
      <c r="S411" s="9"/>
      <c r="T411" s="9"/>
      <c r="U411" s="9"/>
      <c r="V411" s="9"/>
      <c r="W411" s="9"/>
      <c r="X411" s="9"/>
      <c r="Y411" s="9"/>
    </row>
  </sheetData>
  <autoFilter ref="$A$1:$Y$323">
    <filterColumn colId="4">
      <filters>
        <filter val="Y2:Q1: June 2025 - August 2025"/>
        <filter val="Q1: June 2025 - August 2025"/>
      </filters>
    </filterColumn>
    <sortState ref="A1:Y323">
      <sortCondition ref="F1:F323"/>
      <sortCondition ref="D1:D323"/>
      <sortCondition ref="E1:E323"/>
      <sortCondition ref="A1:A323"/>
      <sortCondition ref="J1:J323"/>
    </sortState>
  </autoFilter>
  <hyperlinks>
    <hyperlink r:id="rId2" location="gid=1531048963&amp;range=118:118" ref="R18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88"/>
    <col customWidth="1" min="2" max="2" width="24.88"/>
    <col customWidth="1" min="3" max="3" width="29.5"/>
    <col customWidth="1" min="4" max="10" width="18.88"/>
    <col customWidth="1" min="11" max="11" width="94.38"/>
    <col customWidth="1" min="12" max="18" width="18.88"/>
  </cols>
  <sheetData>
    <row r="1">
      <c r="A1" s="48" t="s">
        <v>3</v>
      </c>
      <c r="B1" s="48" t="s">
        <v>628</v>
      </c>
      <c r="C1" s="48" t="s">
        <v>629</v>
      </c>
      <c r="D1" s="48" t="s">
        <v>630</v>
      </c>
      <c r="E1" s="49" t="s">
        <v>631</v>
      </c>
      <c r="F1" s="48" t="s">
        <v>10</v>
      </c>
      <c r="G1" s="50" t="s">
        <v>632</v>
      </c>
      <c r="H1" s="50" t="s">
        <v>633</v>
      </c>
      <c r="I1" s="50" t="s">
        <v>634</v>
      </c>
      <c r="J1" s="50" t="s">
        <v>635</v>
      </c>
      <c r="K1" s="48" t="s">
        <v>636</v>
      </c>
      <c r="L1" s="50" t="s">
        <v>18</v>
      </c>
      <c r="M1" s="9"/>
      <c r="N1" s="9"/>
      <c r="O1" s="9"/>
      <c r="P1" s="9"/>
      <c r="Q1" s="9"/>
      <c r="R1" s="9"/>
    </row>
    <row r="2">
      <c r="A2" s="20" t="s">
        <v>20</v>
      </c>
      <c r="B2" s="20" t="s">
        <v>35</v>
      </c>
      <c r="C2" s="44"/>
      <c r="D2" s="20" t="s">
        <v>28</v>
      </c>
      <c r="E2" s="51">
        <f t="shared" ref="E2:E65" si="1">average(F2:J2)</f>
        <v>80</v>
      </c>
      <c r="F2" s="20">
        <v>80.0</v>
      </c>
      <c r="G2" s="44"/>
      <c r="H2" s="44"/>
      <c r="I2" s="44"/>
      <c r="J2" s="44"/>
      <c r="K2" s="20" t="s">
        <v>37</v>
      </c>
      <c r="L2" s="44"/>
      <c r="M2" s="44"/>
      <c r="N2" s="44"/>
      <c r="O2" s="44"/>
      <c r="P2" s="44"/>
      <c r="Q2" s="44"/>
      <c r="R2" s="44"/>
    </row>
    <row r="3">
      <c r="A3" s="20" t="s">
        <v>20</v>
      </c>
      <c r="B3" s="20" t="s">
        <v>38</v>
      </c>
      <c r="C3" s="44"/>
      <c r="D3" s="20" t="s">
        <v>32</v>
      </c>
      <c r="E3" s="51">
        <f t="shared" si="1"/>
        <v>90</v>
      </c>
      <c r="F3" s="20">
        <v>85.0</v>
      </c>
      <c r="G3" s="20">
        <v>95.0</v>
      </c>
      <c r="H3" s="44"/>
      <c r="I3" s="44"/>
      <c r="J3" s="44"/>
      <c r="K3" s="20" t="s">
        <v>39</v>
      </c>
      <c r="L3" s="44"/>
      <c r="M3" s="44"/>
      <c r="N3" s="44"/>
      <c r="O3" s="44"/>
      <c r="P3" s="44"/>
      <c r="Q3" s="44"/>
      <c r="R3" s="44"/>
    </row>
    <row r="4">
      <c r="A4" s="20" t="s">
        <v>50</v>
      </c>
      <c r="B4" s="20" t="s">
        <v>54</v>
      </c>
      <c r="C4" s="44"/>
      <c r="D4" s="20" t="s">
        <v>32</v>
      </c>
      <c r="E4" s="51">
        <f t="shared" si="1"/>
        <v>100</v>
      </c>
      <c r="F4" s="20">
        <v>100.0</v>
      </c>
      <c r="G4" s="44"/>
      <c r="H4" s="44"/>
      <c r="I4" s="44"/>
      <c r="J4" s="44"/>
      <c r="K4" s="20" t="s">
        <v>64</v>
      </c>
      <c r="L4" s="44"/>
      <c r="M4" s="44"/>
      <c r="N4" s="44"/>
      <c r="O4" s="44"/>
      <c r="P4" s="44"/>
      <c r="Q4" s="44"/>
      <c r="R4" s="44"/>
    </row>
    <row r="5">
      <c r="A5" s="20" t="s">
        <v>50</v>
      </c>
      <c r="B5" s="20" t="s">
        <v>54</v>
      </c>
      <c r="C5" s="44"/>
      <c r="D5" s="20" t="s">
        <v>28</v>
      </c>
      <c r="E5" s="51">
        <f t="shared" si="1"/>
        <v>85</v>
      </c>
      <c r="F5" s="20">
        <v>70.0</v>
      </c>
      <c r="G5" s="20">
        <v>100.0</v>
      </c>
      <c r="H5" s="44"/>
      <c r="I5" s="44"/>
      <c r="J5" s="44"/>
      <c r="K5" s="20" t="s">
        <v>65</v>
      </c>
      <c r="L5" s="44"/>
      <c r="M5" s="44"/>
      <c r="N5" s="44"/>
      <c r="O5" s="44"/>
      <c r="P5" s="44"/>
      <c r="Q5" s="44"/>
      <c r="R5" s="44"/>
    </row>
    <row r="6">
      <c r="A6" s="20" t="s">
        <v>50</v>
      </c>
      <c r="B6" s="20" t="s">
        <v>54</v>
      </c>
      <c r="C6" s="44"/>
      <c r="D6" s="20" t="s">
        <v>28</v>
      </c>
      <c r="E6" s="51">
        <f t="shared" si="1"/>
        <v>100</v>
      </c>
      <c r="F6" s="20">
        <v>100.0</v>
      </c>
      <c r="G6" s="44"/>
      <c r="H6" s="44"/>
      <c r="I6" s="44"/>
      <c r="J6" s="44"/>
      <c r="K6" s="20" t="s">
        <v>66</v>
      </c>
      <c r="L6" s="44"/>
      <c r="M6" s="44"/>
      <c r="N6" s="44"/>
      <c r="O6" s="44"/>
      <c r="P6" s="44"/>
      <c r="Q6" s="44"/>
      <c r="R6" s="44"/>
    </row>
    <row r="7">
      <c r="A7" s="20" t="s">
        <v>50</v>
      </c>
      <c r="B7" s="20" t="s">
        <v>54</v>
      </c>
      <c r="C7" s="44"/>
      <c r="D7" s="20" t="s">
        <v>28</v>
      </c>
      <c r="E7" s="51">
        <f t="shared" si="1"/>
        <v>50</v>
      </c>
      <c r="F7" s="20">
        <v>50.0</v>
      </c>
      <c r="G7" s="44"/>
      <c r="H7" s="44"/>
      <c r="I7" s="44"/>
      <c r="J7" s="44"/>
      <c r="K7" s="20" t="s">
        <v>68</v>
      </c>
      <c r="L7" s="44"/>
      <c r="M7" s="44"/>
      <c r="N7" s="44"/>
      <c r="O7" s="44"/>
      <c r="P7" s="44"/>
      <c r="Q7" s="44"/>
      <c r="R7" s="44"/>
    </row>
    <row r="8">
      <c r="A8" s="20" t="s">
        <v>50</v>
      </c>
      <c r="B8" s="20" t="s">
        <v>69</v>
      </c>
      <c r="C8" s="20" t="s">
        <v>70</v>
      </c>
      <c r="D8" s="20" t="s">
        <v>32</v>
      </c>
      <c r="E8" s="51">
        <f t="shared" si="1"/>
        <v>100</v>
      </c>
      <c r="F8" s="20">
        <v>100.0</v>
      </c>
      <c r="G8" s="44"/>
      <c r="H8" s="44"/>
      <c r="I8" s="44"/>
      <c r="J8" s="44"/>
      <c r="K8" s="20" t="s">
        <v>71</v>
      </c>
      <c r="L8" s="44"/>
      <c r="M8" s="44"/>
      <c r="N8" s="44"/>
      <c r="O8" s="44"/>
      <c r="P8" s="44"/>
      <c r="Q8" s="44"/>
      <c r="R8" s="44"/>
    </row>
    <row r="9">
      <c r="A9" s="20" t="s">
        <v>50</v>
      </c>
      <c r="B9" s="20" t="s">
        <v>69</v>
      </c>
      <c r="C9" s="20" t="s">
        <v>72</v>
      </c>
      <c r="D9" s="20" t="s">
        <v>24</v>
      </c>
      <c r="E9" s="51">
        <f t="shared" si="1"/>
        <v>60</v>
      </c>
      <c r="F9" s="20">
        <v>60.0</v>
      </c>
      <c r="G9" s="44"/>
      <c r="H9" s="44"/>
      <c r="I9" s="44"/>
      <c r="J9" s="44"/>
      <c r="K9" s="20" t="s">
        <v>74</v>
      </c>
      <c r="L9" s="44"/>
      <c r="M9" s="44"/>
      <c r="N9" s="44"/>
      <c r="O9" s="44"/>
      <c r="P9" s="44"/>
      <c r="Q9" s="44"/>
      <c r="R9" s="44"/>
    </row>
    <row r="10">
      <c r="A10" s="20" t="s">
        <v>50</v>
      </c>
      <c r="B10" s="20" t="s">
        <v>69</v>
      </c>
      <c r="C10" s="20" t="s">
        <v>75</v>
      </c>
      <c r="D10" s="20" t="s">
        <v>28</v>
      </c>
      <c r="E10" s="51">
        <f t="shared" si="1"/>
        <v>100</v>
      </c>
      <c r="F10" s="20">
        <v>100.0</v>
      </c>
      <c r="G10" s="44"/>
      <c r="H10" s="44"/>
      <c r="I10" s="44"/>
      <c r="J10" s="44"/>
      <c r="K10" s="20" t="s">
        <v>76</v>
      </c>
      <c r="L10" s="44"/>
      <c r="M10" s="44"/>
      <c r="N10" s="44"/>
      <c r="O10" s="44"/>
      <c r="P10" s="44"/>
      <c r="Q10" s="44"/>
      <c r="R10" s="44"/>
    </row>
    <row r="11">
      <c r="A11" s="20" t="s">
        <v>88</v>
      </c>
      <c r="B11" s="20" t="s">
        <v>89</v>
      </c>
      <c r="C11" s="20" t="s">
        <v>92</v>
      </c>
      <c r="D11" s="20" t="s">
        <v>59</v>
      </c>
      <c r="E11" s="51">
        <f t="shared" si="1"/>
        <v>85</v>
      </c>
      <c r="F11" s="20">
        <v>85.0</v>
      </c>
      <c r="G11" s="44"/>
      <c r="H11" s="44"/>
      <c r="I11" s="44"/>
      <c r="J11" s="44"/>
      <c r="K11" s="20" t="s">
        <v>96</v>
      </c>
      <c r="L11" s="44"/>
      <c r="M11" s="44"/>
      <c r="N11" s="44"/>
      <c r="O11" s="44"/>
      <c r="P11" s="44"/>
      <c r="Q11" s="44"/>
      <c r="R11" s="44"/>
    </row>
    <row r="12">
      <c r="A12" s="20" t="s">
        <v>88</v>
      </c>
      <c r="B12" s="20" t="s">
        <v>89</v>
      </c>
      <c r="C12" s="20" t="s">
        <v>637</v>
      </c>
      <c r="D12" s="20" t="s">
        <v>32</v>
      </c>
      <c r="E12" s="51">
        <f t="shared" si="1"/>
        <v>100</v>
      </c>
      <c r="F12" s="20">
        <v>100.0</v>
      </c>
      <c r="G12" s="44"/>
      <c r="H12" s="44"/>
      <c r="I12" s="44"/>
      <c r="J12" s="44"/>
      <c r="K12" s="20" t="s">
        <v>95</v>
      </c>
      <c r="L12" s="44"/>
      <c r="M12" s="44"/>
      <c r="N12" s="44"/>
      <c r="O12" s="44"/>
      <c r="P12" s="44"/>
      <c r="Q12" s="44"/>
      <c r="R12" s="44"/>
    </row>
    <row r="13">
      <c r="A13" s="20" t="s">
        <v>111</v>
      </c>
      <c r="B13" s="20" t="s">
        <v>115</v>
      </c>
      <c r="C13" s="44"/>
      <c r="D13" s="20" t="s">
        <v>32</v>
      </c>
      <c r="E13" s="51">
        <f t="shared" si="1"/>
        <v>0</v>
      </c>
      <c r="F13" s="20">
        <v>0.0</v>
      </c>
      <c r="G13" s="44"/>
      <c r="H13" s="44"/>
      <c r="I13" s="44"/>
      <c r="J13" s="44"/>
      <c r="K13" s="20" t="s">
        <v>116</v>
      </c>
      <c r="L13" s="44"/>
      <c r="M13" s="44"/>
      <c r="N13" s="44"/>
      <c r="O13" s="44"/>
      <c r="P13" s="44"/>
      <c r="Q13" s="44"/>
      <c r="R13" s="44"/>
    </row>
    <row r="14">
      <c r="A14" s="20" t="s">
        <v>111</v>
      </c>
      <c r="B14" s="20" t="s">
        <v>115</v>
      </c>
      <c r="C14" s="44"/>
      <c r="D14" s="20" t="s">
        <v>28</v>
      </c>
      <c r="E14" s="51">
        <f t="shared" si="1"/>
        <v>45</v>
      </c>
      <c r="F14" s="20">
        <v>50.0</v>
      </c>
      <c r="G14" s="20">
        <v>40.0</v>
      </c>
      <c r="H14" s="44"/>
      <c r="I14" s="44"/>
      <c r="J14" s="44"/>
      <c r="K14" s="20" t="s">
        <v>117</v>
      </c>
      <c r="L14" s="44"/>
      <c r="M14" s="44"/>
      <c r="N14" s="44"/>
      <c r="O14" s="44"/>
      <c r="P14" s="44"/>
      <c r="Q14" s="44"/>
      <c r="R14" s="44"/>
    </row>
    <row r="15">
      <c r="A15" s="20" t="s">
        <v>111</v>
      </c>
      <c r="B15" s="20" t="s">
        <v>115</v>
      </c>
      <c r="C15" s="44"/>
      <c r="D15" s="20" t="s">
        <v>24</v>
      </c>
      <c r="E15" s="51">
        <f t="shared" si="1"/>
        <v>64</v>
      </c>
      <c r="F15" s="20">
        <v>68.0</v>
      </c>
      <c r="G15" s="20">
        <v>60.0</v>
      </c>
      <c r="H15" s="44"/>
      <c r="I15" s="44"/>
      <c r="J15" s="44"/>
      <c r="K15" s="20" t="s">
        <v>119</v>
      </c>
      <c r="L15" s="44"/>
      <c r="M15" s="44"/>
      <c r="N15" s="44"/>
      <c r="O15" s="44"/>
      <c r="P15" s="44"/>
      <c r="Q15" s="44"/>
      <c r="R15" s="44"/>
    </row>
    <row r="16">
      <c r="A16" s="20" t="s">
        <v>128</v>
      </c>
      <c r="B16" s="20" t="s">
        <v>129</v>
      </c>
      <c r="C16" s="20" t="s">
        <v>638</v>
      </c>
      <c r="D16" s="20" t="s">
        <v>28</v>
      </c>
      <c r="E16" s="51">
        <f t="shared" si="1"/>
        <v>65</v>
      </c>
      <c r="F16" s="20">
        <v>65.0</v>
      </c>
      <c r="G16" s="44"/>
      <c r="H16" s="44"/>
      <c r="I16" s="44"/>
      <c r="J16" s="44"/>
      <c r="K16" s="20" t="s">
        <v>132</v>
      </c>
      <c r="L16" s="44"/>
      <c r="M16" s="44"/>
      <c r="N16" s="44"/>
      <c r="O16" s="44"/>
      <c r="P16" s="44"/>
      <c r="Q16" s="44"/>
      <c r="R16" s="44"/>
    </row>
    <row r="17">
      <c r="A17" s="20" t="s">
        <v>143</v>
      </c>
      <c r="B17" s="20" t="s">
        <v>154</v>
      </c>
      <c r="C17" s="20" t="s">
        <v>161</v>
      </c>
      <c r="D17" s="20" t="s">
        <v>32</v>
      </c>
      <c r="E17" s="51">
        <f t="shared" si="1"/>
        <v>75</v>
      </c>
      <c r="F17" s="20">
        <v>100.0</v>
      </c>
      <c r="G17" s="20">
        <v>50.0</v>
      </c>
      <c r="H17" s="44"/>
      <c r="I17" s="44"/>
      <c r="J17" s="44"/>
      <c r="K17" s="20" t="s">
        <v>162</v>
      </c>
      <c r="L17" s="44"/>
      <c r="M17" s="44"/>
      <c r="N17" s="44"/>
      <c r="O17" s="44"/>
      <c r="P17" s="44"/>
      <c r="Q17" s="44"/>
      <c r="R17" s="44"/>
    </row>
    <row r="18">
      <c r="A18" s="20" t="s">
        <v>143</v>
      </c>
      <c r="B18" s="20" t="s">
        <v>154</v>
      </c>
      <c r="C18" s="20" t="s">
        <v>163</v>
      </c>
      <c r="D18" s="20" t="s">
        <v>28</v>
      </c>
      <c r="E18" s="51">
        <f t="shared" si="1"/>
        <v>100</v>
      </c>
      <c r="F18" s="20">
        <v>100.0</v>
      </c>
      <c r="G18" s="44"/>
      <c r="H18" s="44"/>
      <c r="I18" s="44"/>
      <c r="J18" s="44"/>
      <c r="K18" s="20" t="s">
        <v>164</v>
      </c>
      <c r="L18" s="44"/>
      <c r="M18" s="44"/>
      <c r="N18" s="44"/>
      <c r="O18" s="44"/>
      <c r="P18" s="44"/>
      <c r="Q18" s="44"/>
      <c r="R18" s="44"/>
    </row>
    <row r="19">
      <c r="A19" s="20" t="s">
        <v>143</v>
      </c>
      <c r="B19" s="20" t="s">
        <v>154</v>
      </c>
      <c r="C19" s="20" t="s">
        <v>165</v>
      </c>
      <c r="D19" s="20" t="s">
        <v>24</v>
      </c>
      <c r="E19" s="51">
        <f t="shared" si="1"/>
        <v>70</v>
      </c>
      <c r="F19" s="20">
        <v>80.0</v>
      </c>
      <c r="G19" s="20">
        <v>60.0</v>
      </c>
      <c r="H19" s="44"/>
      <c r="I19" s="44"/>
      <c r="J19" s="44"/>
      <c r="K19" s="20" t="s">
        <v>166</v>
      </c>
      <c r="L19" s="44"/>
      <c r="M19" s="44"/>
      <c r="N19" s="44"/>
      <c r="O19" s="44"/>
      <c r="P19" s="44"/>
      <c r="Q19" s="44"/>
      <c r="R19" s="44"/>
    </row>
    <row r="20">
      <c r="A20" s="20" t="s">
        <v>176</v>
      </c>
      <c r="B20" s="20" t="s">
        <v>185</v>
      </c>
      <c r="C20" s="20" t="s">
        <v>177</v>
      </c>
      <c r="D20" s="20" t="s">
        <v>32</v>
      </c>
      <c r="E20" s="51">
        <f t="shared" si="1"/>
        <v>70</v>
      </c>
      <c r="F20" s="20">
        <v>75.0</v>
      </c>
      <c r="G20" s="20">
        <v>65.0</v>
      </c>
      <c r="H20" s="44"/>
      <c r="I20" s="44"/>
      <c r="J20" s="44"/>
      <c r="K20" s="20" t="s">
        <v>191</v>
      </c>
      <c r="L20" s="44"/>
      <c r="M20" s="44"/>
      <c r="N20" s="44"/>
      <c r="O20" s="44"/>
      <c r="P20" s="44"/>
      <c r="Q20" s="44"/>
      <c r="R20" s="44"/>
    </row>
    <row r="21">
      <c r="A21" s="20" t="s">
        <v>176</v>
      </c>
      <c r="B21" s="20" t="s">
        <v>185</v>
      </c>
      <c r="C21" s="20" t="s">
        <v>177</v>
      </c>
      <c r="D21" s="20" t="s">
        <v>28</v>
      </c>
      <c r="E21" s="51">
        <f t="shared" si="1"/>
        <v>25</v>
      </c>
      <c r="F21" s="20">
        <v>25.0</v>
      </c>
      <c r="G21" s="44"/>
      <c r="H21" s="44"/>
      <c r="I21" s="44"/>
      <c r="J21" s="44"/>
      <c r="K21" s="20" t="s">
        <v>192</v>
      </c>
      <c r="L21" s="44"/>
      <c r="M21" s="44"/>
      <c r="N21" s="44"/>
      <c r="O21" s="44"/>
      <c r="P21" s="44"/>
      <c r="Q21" s="44"/>
      <c r="R21" s="44"/>
    </row>
    <row r="22">
      <c r="A22" s="20" t="s">
        <v>176</v>
      </c>
      <c r="B22" s="20" t="s">
        <v>185</v>
      </c>
      <c r="C22" s="20" t="s">
        <v>177</v>
      </c>
      <c r="D22" s="20" t="s">
        <v>24</v>
      </c>
      <c r="E22" s="51">
        <f t="shared" si="1"/>
        <v>45</v>
      </c>
      <c r="F22" s="20">
        <v>90.0</v>
      </c>
      <c r="G22" s="20">
        <v>0.0</v>
      </c>
      <c r="H22" s="44"/>
      <c r="I22" s="44"/>
      <c r="J22" s="44"/>
      <c r="K22" s="20" t="s">
        <v>190</v>
      </c>
      <c r="L22" s="44"/>
      <c r="M22" s="44"/>
      <c r="N22" s="44"/>
      <c r="O22" s="44"/>
      <c r="P22" s="44"/>
      <c r="Q22" s="44"/>
      <c r="R22" s="44"/>
    </row>
    <row r="23">
      <c r="A23" s="20" t="s">
        <v>176</v>
      </c>
      <c r="B23" s="20" t="s">
        <v>185</v>
      </c>
      <c r="C23" s="20" t="s">
        <v>177</v>
      </c>
      <c r="D23" s="20" t="s">
        <v>59</v>
      </c>
      <c r="E23" s="51">
        <f t="shared" si="1"/>
        <v>62.5</v>
      </c>
      <c r="F23" s="20">
        <v>75.0</v>
      </c>
      <c r="G23" s="20">
        <v>75.0</v>
      </c>
      <c r="H23" s="20">
        <v>50.0</v>
      </c>
      <c r="I23" s="20">
        <v>50.0</v>
      </c>
      <c r="J23" s="44"/>
      <c r="K23" s="20" t="s">
        <v>189</v>
      </c>
      <c r="L23" s="44"/>
      <c r="M23" s="44"/>
      <c r="N23" s="44"/>
      <c r="O23" s="44"/>
      <c r="P23" s="44"/>
      <c r="Q23" s="44"/>
      <c r="R23" s="44"/>
    </row>
    <row r="24">
      <c r="A24" s="20" t="s">
        <v>194</v>
      </c>
      <c r="B24" s="20" t="s">
        <v>195</v>
      </c>
      <c r="C24" s="44"/>
      <c r="D24" s="20" t="s">
        <v>32</v>
      </c>
      <c r="E24" s="51">
        <f t="shared" si="1"/>
        <v>95</v>
      </c>
      <c r="F24" s="20">
        <v>100.0</v>
      </c>
      <c r="G24" s="20">
        <v>90.0</v>
      </c>
      <c r="H24" s="44"/>
      <c r="I24" s="44"/>
      <c r="J24" s="44"/>
      <c r="K24" s="20" t="s">
        <v>197</v>
      </c>
      <c r="L24" s="44"/>
      <c r="M24" s="44"/>
      <c r="N24" s="44"/>
      <c r="O24" s="44"/>
      <c r="P24" s="44"/>
      <c r="Q24" s="44"/>
      <c r="R24" s="44"/>
    </row>
    <row r="25">
      <c r="A25" s="20" t="s">
        <v>210</v>
      </c>
      <c r="B25" s="20" t="s">
        <v>211</v>
      </c>
      <c r="C25" s="44"/>
      <c r="D25" s="20" t="s">
        <v>32</v>
      </c>
      <c r="E25" s="51">
        <f t="shared" si="1"/>
        <v>95</v>
      </c>
      <c r="F25" s="20">
        <v>90.0</v>
      </c>
      <c r="G25" s="20">
        <v>100.0</v>
      </c>
      <c r="H25" s="44"/>
      <c r="I25" s="44"/>
      <c r="J25" s="44"/>
      <c r="K25" s="20" t="s">
        <v>216</v>
      </c>
      <c r="L25" s="44"/>
      <c r="M25" s="44"/>
      <c r="N25" s="44"/>
      <c r="O25" s="44"/>
      <c r="P25" s="44"/>
      <c r="Q25" s="44"/>
      <c r="R25" s="44"/>
    </row>
    <row r="26">
      <c r="A26" s="20" t="s">
        <v>210</v>
      </c>
      <c r="B26" s="20" t="s">
        <v>211</v>
      </c>
      <c r="C26" s="44"/>
      <c r="D26" s="20" t="s">
        <v>28</v>
      </c>
      <c r="E26" s="51">
        <f t="shared" si="1"/>
        <v>40</v>
      </c>
      <c r="F26" s="20">
        <v>40.0</v>
      </c>
      <c r="G26" s="44"/>
      <c r="H26" s="44"/>
      <c r="I26" s="44"/>
      <c r="J26" s="44"/>
      <c r="K26" s="20" t="s">
        <v>215</v>
      </c>
      <c r="L26" s="44"/>
      <c r="M26" s="44"/>
      <c r="N26" s="44"/>
      <c r="O26" s="44"/>
      <c r="P26" s="44"/>
      <c r="Q26" s="44"/>
      <c r="R26" s="44"/>
    </row>
    <row r="27">
      <c r="A27" s="20" t="s">
        <v>210</v>
      </c>
      <c r="B27" s="20" t="s">
        <v>220</v>
      </c>
      <c r="C27" s="44"/>
      <c r="D27" s="20" t="s">
        <v>24</v>
      </c>
      <c r="E27" s="51">
        <f t="shared" si="1"/>
        <v>95</v>
      </c>
      <c r="F27" s="20">
        <v>90.0</v>
      </c>
      <c r="G27" s="20">
        <v>100.0</v>
      </c>
      <c r="H27" s="44"/>
      <c r="I27" s="44"/>
      <c r="J27" s="44"/>
      <c r="K27" s="20" t="s">
        <v>223</v>
      </c>
      <c r="L27" s="44"/>
      <c r="M27" s="44"/>
      <c r="N27" s="44"/>
      <c r="O27" s="44"/>
      <c r="P27" s="44"/>
      <c r="Q27" s="44"/>
      <c r="R27" s="44"/>
    </row>
    <row r="28">
      <c r="A28" s="20" t="s">
        <v>226</v>
      </c>
      <c r="B28" s="20" t="s">
        <v>227</v>
      </c>
      <c r="C28" s="44"/>
      <c r="D28" s="20" t="s">
        <v>28</v>
      </c>
      <c r="E28" s="51">
        <f t="shared" si="1"/>
        <v>60</v>
      </c>
      <c r="F28" s="20">
        <v>60.0</v>
      </c>
      <c r="G28" s="44"/>
      <c r="H28" s="44"/>
      <c r="I28" s="44"/>
      <c r="J28" s="44"/>
      <c r="K28" s="20" t="s">
        <v>230</v>
      </c>
      <c r="L28" s="44"/>
      <c r="M28" s="44"/>
      <c r="N28" s="44"/>
      <c r="O28" s="44"/>
      <c r="P28" s="44"/>
      <c r="Q28" s="44"/>
      <c r="R28" s="44"/>
    </row>
    <row r="29">
      <c r="A29" s="20" t="s">
        <v>245</v>
      </c>
      <c r="B29" s="20" t="s">
        <v>246</v>
      </c>
      <c r="C29" s="20" t="s">
        <v>639</v>
      </c>
      <c r="D29" s="20" t="s">
        <v>32</v>
      </c>
      <c r="E29" s="51">
        <f t="shared" si="1"/>
        <v>50</v>
      </c>
      <c r="F29" s="20">
        <v>50.0</v>
      </c>
      <c r="G29" s="44"/>
      <c r="H29" s="44"/>
      <c r="I29" s="44"/>
      <c r="J29" s="44"/>
      <c r="K29" s="20" t="s">
        <v>251</v>
      </c>
      <c r="L29" s="44"/>
      <c r="M29" s="44"/>
      <c r="N29" s="44"/>
      <c r="O29" s="44"/>
      <c r="P29" s="44"/>
      <c r="Q29" s="44"/>
      <c r="R29" s="44"/>
    </row>
    <row r="30">
      <c r="A30" s="20" t="s">
        <v>245</v>
      </c>
      <c r="B30" s="20" t="s">
        <v>246</v>
      </c>
      <c r="C30" s="20" t="s">
        <v>640</v>
      </c>
      <c r="D30" s="20" t="s">
        <v>24</v>
      </c>
      <c r="E30" s="51">
        <f t="shared" si="1"/>
        <v>100</v>
      </c>
      <c r="F30" s="20">
        <v>100.0</v>
      </c>
      <c r="G30" s="44"/>
      <c r="H30" s="44"/>
      <c r="I30" s="44"/>
      <c r="J30" s="44"/>
      <c r="K30" s="20" t="s">
        <v>249</v>
      </c>
      <c r="L30" s="44"/>
      <c r="M30" s="44"/>
      <c r="N30" s="44"/>
      <c r="O30" s="44"/>
      <c r="P30" s="44"/>
      <c r="Q30" s="44"/>
      <c r="R30" s="44"/>
    </row>
    <row r="31">
      <c r="A31" s="20" t="s">
        <v>245</v>
      </c>
      <c r="B31" s="20" t="s">
        <v>246</v>
      </c>
      <c r="C31" s="20" t="s">
        <v>641</v>
      </c>
      <c r="D31" s="20" t="s">
        <v>59</v>
      </c>
      <c r="E31" s="51">
        <f t="shared" si="1"/>
        <v>5</v>
      </c>
      <c r="F31" s="20">
        <v>5.0</v>
      </c>
      <c r="G31" s="44"/>
      <c r="H31" s="44"/>
      <c r="I31" s="44"/>
      <c r="J31" s="44"/>
      <c r="K31" s="20" t="s">
        <v>252</v>
      </c>
      <c r="L31" s="44"/>
      <c r="M31" s="44"/>
      <c r="N31" s="44"/>
      <c r="O31" s="44"/>
      <c r="P31" s="44"/>
      <c r="Q31" s="44"/>
      <c r="R31" s="44"/>
    </row>
    <row r="32">
      <c r="A32" s="20" t="s">
        <v>642</v>
      </c>
      <c r="B32" s="20" t="s">
        <v>246</v>
      </c>
      <c r="C32" s="20" t="s">
        <v>643</v>
      </c>
      <c r="D32" s="20" t="s">
        <v>28</v>
      </c>
      <c r="E32" s="51">
        <f t="shared" si="1"/>
        <v>15</v>
      </c>
      <c r="F32" s="20">
        <v>15.0</v>
      </c>
      <c r="G32" s="44"/>
      <c r="H32" s="44"/>
      <c r="I32" s="44"/>
      <c r="J32" s="44"/>
      <c r="K32" s="20" t="s">
        <v>253</v>
      </c>
      <c r="L32" s="44"/>
      <c r="M32" s="44"/>
      <c r="N32" s="44"/>
      <c r="O32" s="44"/>
      <c r="P32" s="44"/>
      <c r="Q32" s="44"/>
      <c r="R32" s="44"/>
    </row>
    <row r="33">
      <c r="A33" s="20" t="s">
        <v>644</v>
      </c>
      <c r="B33" s="20" t="s">
        <v>241</v>
      </c>
      <c r="C33" s="20" t="s">
        <v>645</v>
      </c>
      <c r="D33" s="20" t="s">
        <v>32</v>
      </c>
      <c r="E33" s="51">
        <f t="shared" si="1"/>
        <v>100</v>
      </c>
      <c r="F33" s="20">
        <v>100.0</v>
      </c>
      <c r="G33" s="20">
        <v>100.0</v>
      </c>
      <c r="H33" s="44"/>
      <c r="I33" s="44"/>
      <c r="J33" s="44"/>
      <c r="K33" s="20" t="s">
        <v>267</v>
      </c>
      <c r="L33" s="44"/>
      <c r="M33" s="44"/>
      <c r="N33" s="44"/>
      <c r="O33" s="44"/>
      <c r="P33" s="44"/>
      <c r="Q33" s="44"/>
      <c r="R33" s="44"/>
    </row>
    <row r="34">
      <c r="A34" s="20" t="s">
        <v>266</v>
      </c>
      <c r="B34" s="20" t="s">
        <v>241</v>
      </c>
      <c r="C34" s="20" t="s">
        <v>268</v>
      </c>
      <c r="D34" s="20" t="s">
        <v>28</v>
      </c>
      <c r="E34" s="51">
        <f t="shared" si="1"/>
        <v>50</v>
      </c>
      <c r="F34" s="20">
        <v>0.0</v>
      </c>
      <c r="G34" s="20">
        <v>100.0</v>
      </c>
      <c r="H34" s="44"/>
      <c r="I34" s="44"/>
      <c r="J34" s="44"/>
      <c r="K34" s="20" t="s">
        <v>269</v>
      </c>
      <c r="L34" s="44"/>
      <c r="M34" s="44"/>
      <c r="N34" s="44"/>
      <c r="O34" s="44"/>
      <c r="P34" s="44"/>
      <c r="Q34" s="44"/>
      <c r="R34" s="44"/>
    </row>
    <row r="35">
      <c r="A35" s="20" t="s">
        <v>276</v>
      </c>
      <c r="B35" s="20" t="s">
        <v>277</v>
      </c>
      <c r="C35" s="20" t="s">
        <v>278</v>
      </c>
      <c r="D35" s="20" t="s">
        <v>32</v>
      </c>
      <c r="E35" s="51">
        <f t="shared" si="1"/>
        <v>100</v>
      </c>
      <c r="F35" s="20">
        <v>100.0</v>
      </c>
      <c r="G35" s="44"/>
      <c r="H35" s="44"/>
      <c r="I35" s="44"/>
      <c r="J35" s="44"/>
      <c r="K35" s="20" t="s">
        <v>279</v>
      </c>
      <c r="L35" s="44"/>
      <c r="M35" s="44"/>
      <c r="N35" s="44"/>
      <c r="O35" s="44"/>
      <c r="P35" s="44"/>
      <c r="Q35" s="44"/>
      <c r="R35" s="44"/>
    </row>
    <row r="36">
      <c r="A36" s="20" t="s">
        <v>285</v>
      </c>
      <c r="B36" s="20" t="s">
        <v>129</v>
      </c>
      <c r="C36" s="44"/>
      <c r="D36" s="20" t="s">
        <v>32</v>
      </c>
      <c r="E36" s="51">
        <f t="shared" si="1"/>
        <v>50</v>
      </c>
      <c r="F36" s="20">
        <v>50.0</v>
      </c>
      <c r="G36" s="44"/>
      <c r="H36" s="44"/>
      <c r="I36" s="44"/>
      <c r="J36" s="44"/>
      <c r="K36" s="20" t="s">
        <v>291</v>
      </c>
      <c r="L36" s="44"/>
      <c r="M36" s="44"/>
      <c r="N36" s="44"/>
      <c r="O36" s="44"/>
      <c r="P36" s="44"/>
      <c r="Q36" s="44"/>
      <c r="R36" s="44"/>
    </row>
    <row r="37">
      <c r="A37" s="38" t="s">
        <v>299</v>
      </c>
      <c r="B37" s="38" t="s">
        <v>300</v>
      </c>
      <c r="C37" s="39"/>
      <c r="D37" s="38" t="s">
        <v>32</v>
      </c>
      <c r="E37" s="51">
        <f t="shared" si="1"/>
        <v>72.5</v>
      </c>
      <c r="F37" s="38">
        <v>85.0</v>
      </c>
      <c r="G37" s="38">
        <v>60.0</v>
      </c>
      <c r="H37" s="39"/>
      <c r="I37" s="39"/>
      <c r="J37" s="39"/>
      <c r="K37" s="20" t="s">
        <v>302</v>
      </c>
      <c r="L37" s="39"/>
      <c r="M37" s="39"/>
      <c r="N37" s="39"/>
      <c r="O37" s="39"/>
      <c r="P37" s="39"/>
      <c r="Q37" s="39"/>
      <c r="R37" s="39"/>
    </row>
    <row r="38">
      <c r="A38" s="20" t="s">
        <v>307</v>
      </c>
      <c r="B38" s="20" t="s">
        <v>137</v>
      </c>
      <c r="C38" s="44"/>
      <c r="D38" s="20" t="s">
        <v>28</v>
      </c>
      <c r="E38" s="51">
        <f t="shared" si="1"/>
        <v>62.5</v>
      </c>
      <c r="F38" s="20">
        <v>25.0</v>
      </c>
      <c r="G38" s="20">
        <v>100.0</v>
      </c>
      <c r="H38" s="44"/>
      <c r="I38" s="44"/>
      <c r="J38" s="44"/>
      <c r="K38" s="20" t="s">
        <v>482</v>
      </c>
      <c r="L38" s="44"/>
      <c r="M38" s="44"/>
      <c r="N38" s="44"/>
      <c r="O38" s="44"/>
      <c r="P38" s="44"/>
      <c r="Q38" s="44"/>
      <c r="R38" s="44"/>
    </row>
    <row r="39">
      <c r="A39" s="20" t="s">
        <v>315</v>
      </c>
      <c r="B39" s="20" t="s">
        <v>316</v>
      </c>
      <c r="C39" s="44"/>
      <c r="D39" s="20" t="s">
        <v>32</v>
      </c>
      <c r="E39" s="51">
        <f t="shared" si="1"/>
        <v>70</v>
      </c>
      <c r="F39" s="20">
        <v>70.0</v>
      </c>
      <c r="G39" s="44"/>
      <c r="H39" s="44"/>
      <c r="I39" s="44"/>
      <c r="J39" s="44"/>
      <c r="K39" s="20" t="s">
        <v>321</v>
      </c>
      <c r="L39" s="44"/>
      <c r="M39" s="44"/>
      <c r="N39" s="44"/>
      <c r="O39" s="44"/>
      <c r="P39" s="44"/>
      <c r="Q39" s="44"/>
      <c r="R39" s="44"/>
    </row>
    <row r="40">
      <c r="A40" s="20" t="s">
        <v>315</v>
      </c>
      <c r="B40" s="20" t="s">
        <v>316</v>
      </c>
      <c r="C40" s="44"/>
      <c r="D40" s="20" t="s">
        <v>24</v>
      </c>
      <c r="E40" s="51">
        <f t="shared" si="1"/>
        <v>100</v>
      </c>
      <c r="F40" s="20">
        <v>100.0</v>
      </c>
      <c r="G40" s="44"/>
      <c r="H40" s="44"/>
      <c r="I40" s="44"/>
      <c r="J40" s="44"/>
      <c r="K40" s="20" t="s">
        <v>323</v>
      </c>
      <c r="L40" s="44"/>
      <c r="M40" s="44"/>
      <c r="N40" s="44"/>
      <c r="O40" s="44"/>
      <c r="P40" s="44"/>
      <c r="Q40" s="44"/>
      <c r="R40" s="44"/>
    </row>
    <row r="41">
      <c r="A41" s="20" t="s">
        <v>315</v>
      </c>
      <c r="B41" s="20" t="s">
        <v>316</v>
      </c>
      <c r="C41" s="44"/>
      <c r="D41" s="20" t="s">
        <v>28</v>
      </c>
      <c r="E41" s="51">
        <f t="shared" si="1"/>
        <v>100</v>
      </c>
      <c r="F41" s="20">
        <v>100.0</v>
      </c>
      <c r="G41" s="44"/>
      <c r="H41" s="44"/>
      <c r="I41" s="44"/>
      <c r="J41" s="44"/>
      <c r="K41" s="20" t="s">
        <v>320</v>
      </c>
      <c r="L41" s="44"/>
      <c r="M41" s="44"/>
      <c r="N41" s="44"/>
      <c r="O41" s="44"/>
      <c r="P41" s="44"/>
      <c r="Q41" s="44"/>
      <c r="R41" s="44"/>
    </row>
    <row r="42">
      <c r="A42" s="20" t="s">
        <v>331</v>
      </c>
      <c r="B42" s="20" t="s">
        <v>89</v>
      </c>
      <c r="C42" s="44"/>
      <c r="D42" s="20" t="s">
        <v>57</v>
      </c>
      <c r="E42" s="51">
        <f t="shared" si="1"/>
        <v>100</v>
      </c>
      <c r="F42" s="20">
        <v>100.0</v>
      </c>
      <c r="G42" s="20">
        <v>100.0</v>
      </c>
      <c r="H42" s="44"/>
      <c r="I42" s="44"/>
      <c r="J42" s="44"/>
      <c r="K42" s="20" t="s">
        <v>333</v>
      </c>
      <c r="L42" s="44"/>
      <c r="M42" s="44"/>
      <c r="N42" s="44"/>
      <c r="O42" s="44"/>
      <c r="P42" s="44"/>
      <c r="Q42" s="44"/>
      <c r="R42" s="44"/>
    </row>
    <row r="43">
      <c r="A43" s="20" t="s">
        <v>335</v>
      </c>
      <c r="B43" s="20" t="s">
        <v>336</v>
      </c>
      <c r="C43" s="20" t="s">
        <v>340</v>
      </c>
      <c r="D43" s="20" t="s">
        <v>32</v>
      </c>
      <c r="E43" s="51">
        <f t="shared" si="1"/>
        <v>15</v>
      </c>
      <c r="F43" s="20">
        <v>15.0</v>
      </c>
      <c r="G43" s="20">
        <v>15.0</v>
      </c>
      <c r="H43" s="44"/>
      <c r="I43" s="44"/>
      <c r="J43" s="44"/>
      <c r="K43" s="20" t="s">
        <v>341</v>
      </c>
      <c r="L43" s="44"/>
      <c r="M43" s="44"/>
      <c r="N43" s="44"/>
      <c r="O43" s="44"/>
      <c r="P43" s="44"/>
      <c r="Q43" s="44"/>
      <c r="R43" s="44"/>
    </row>
    <row r="44">
      <c r="A44" s="20" t="s">
        <v>335</v>
      </c>
      <c r="B44" s="20" t="s">
        <v>343</v>
      </c>
      <c r="C44" s="20" t="s">
        <v>344</v>
      </c>
      <c r="D44" s="20" t="s">
        <v>32</v>
      </c>
      <c r="E44" s="51">
        <f t="shared" si="1"/>
        <v>30</v>
      </c>
      <c r="F44" s="20">
        <v>10.0</v>
      </c>
      <c r="G44" s="20">
        <v>50.0</v>
      </c>
      <c r="H44" s="20">
        <v>50.0</v>
      </c>
      <c r="I44" s="20">
        <v>10.0</v>
      </c>
      <c r="J44" s="20" t="s">
        <v>646</v>
      </c>
      <c r="K44" s="20" t="s">
        <v>345</v>
      </c>
      <c r="L44" s="44"/>
      <c r="M44" s="44"/>
      <c r="N44" s="44"/>
      <c r="O44" s="44"/>
      <c r="P44" s="44"/>
      <c r="Q44" s="44"/>
      <c r="R44" s="44"/>
    </row>
    <row r="45">
      <c r="A45" s="20" t="s">
        <v>335</v>
      </c>
      <c r="B45" s="20" t="s">
        <v>347</v>
      </c>
      <c r="C45" s="20" t="s">
        <v>347</v>
      </c>
      <c r="D45" s="20" t="s">
        <v>32</v>
      </c>
      <c r="E45" s="51">
        <f t="shared" si="1"/>
        <v>75</v>
      </c>
      <c r="F45" s="20">
        <v>75.0</v>
      </c>
      <c r="G45" s="20">
        <v>75.0</v>
      </c>
      <c r="H45" s="20">
        <v>75.0</v>
      </c>
      <c r="I45" s="20">
        <v>75.0</v>
      </c>
      <c r="J45" s="20" t="s">
        <v>647</v>
      </c>
      <c r="K45" s="20" t="s">
        <v>349</v>
      </c>
      <c r="L45" s="44"/>
      <c r="M45" s="44"/>
      <c r="N45" s="44"/>
      <c r="O45" s="44"/>
      <c r="P45" s="44"/>
      <c r="Q45" s="44"/>
      <c r="R45" s="44"/>
    </row>
    <row r="46">
      <c r="A46" s="20" t="s">
        <v>352</v>
      </c>
      <c r="B46" s="20" t="s">
        <v>353</v>
      </c>
      <c r="C46" s="20" t="s">
        <v>353</v>
      </c>
      <c r="D46" s="20" t="s">
        <v>32</v>
      </c>
      <c r="E46" s="51">
        <f t="shared" si="1"/>
        <v>50</v>
      </c>
      <c r="F46" s="20">
        <v>50.0</v>
      </c>
      <c r="G46" s="44"/>
      <c r="H46" s="44"/>
      <c r="I46" s="44"/>
      <c r="J46" s="44"/>
      <c r="K46" s="20" t="s">
        <v>357</v>
      </c>
      <c r="L46" s="44"/>
      <c r="M46" s="44"/>
      <c r="N46" s="44"/>
      <c r="O46" s="44"/>
      <c r="P46" s="44"/>
      <c r="Q46" s="44"/>
      <c r="R46" s="44"/>
    </row>
    <row r="47">
      <c r="A47" s="20" t="s">
        <v>371</v>
      </c>
      <c r="B47" s="20" t="s">
        <v>372</v>
      </c>
      <c r="C47" s="20" t="s">
        <v>376</v>
      </c>
      <c r="D47" s="20" t="s">
        <v>28</v>
      </c>
      <c r="E47" s="51">
        <f t="shared" si="1"/>
        <v>100</v>
      </c>
      <c r="F47" s="20">
        <v>100.0</v>
      </c>
      <c r="G47" s="44"/>
      <c r="H47" s="44"/>
      <c r="I47" s="44"/>
      <c r="J47" s="44"/>
      <c r="K47" s="20" t="s">
        <v>378</v>
      </c>
      <c r="L47" s="44"/>
      <c r="M47" s="44"/>
      <c r="N47" s="44"/>
      <c r="O47" s="44"/>
      <c r="P47" s="44"/>
      <c r="Q47" s="44"/>
      <c r="R47" s="44"/>
    </row>
    <row r="48">
      <c r="A48" s="20" t="s">
        <v>413</v>
      </c>
      <c r="B48" s="20" t="s">
        <v>414</v>
      </c>
      <c r="C48" s="44"/>
      <c r="D48" s="20" t="s">
        <v>32</v>
      </c>
      <c r="E48" s="51">
        <f t="shared" si="1"/>
        <v>100</v>
      </c>
      <c r="F48" s="20">
        <v>100.0</v>
      </c>
      <c r="G48" s="44"/>
      <c r="H48" s="44"/>
      <c r="I48" s="44"/>
      <c r="J48" s="44"/>
      <c r="K48" s="20" t="s">
        <v>422</v>
      </c>
      <c r="L48" s="44"/>
      <c r="M48" s="44"/>
      <c r="N48" s="44"/>
      <c r="O48" s="44"/>
      <c r="P48" s="44"/>
      <c r="Q48" s="44"/>
      <c r="R48" s="44"/>
    </row>
    <row r="49">
      <c r="A49" s="20" t="s">
        <v>427</v>
      </c>
      <c r="B49" s="20" t="s">
        <v>428</v>
      </c>
      <c r="C49" s="44"/>
      <c r="D49" s="20" t="s">
        <v>32</v>
      </c>
      <c r="E49" s="51">
        <f t="shared" si="1"/>
        <v>92</v>
      </c>
      <c r="F49" s="20">
        <v>92.0</v>
      </c>
      <c r="G49" s="44"/>
      <c r="H49" s="44"/>
      <c r="I49" s="44"/>
      <c r="J49" s="44"/>
      <c r="K49" s="20" t="s">
        <v>431</v>
      </c>
      <c r="L49" s="44"/>
      <c r="M49" s="44"/>
      <c r="N49" s="44"/>
      <c r="O49" s="44"/>
      <c r="P49" s="44"/>
      <c r="Q49" s="44"/>
      <c r="R49" s="44"/>
    </row>
    <row r="50">
      <c r="A50" s="20" t="s">
        <v>436</v>
      </c>
      <c r="B50" s="20" t="s">
        <v>89</v>
      </c>
      <c r="C50" s="20" t="s">
        <v>437</v>
      </c>
      <c r="D50" s="20" t="s">
        <v>32</v>
      </c>
      <c r="E50" s="51">
        <f t="shared" si="1"/>
        <v>92.5</v>
      </c>
      <c r="F50" s="20">
        <v>100.0</v>
      </c>
      <c r="G50" s="20">
        <v>85.0</v>
      </c>
      <c r="H50" s="44"/>
      <c r="I50" s="44"/>
      <c r="J50" s="44"/>
      <c r="K50" s="20" t="s">
        <v>440</v>
      </c>
      <c r="L50" s="44"/>
      <c r="M50" s="44"/>
      <c r="N50" s="44"/>
      <c r="O50" s="44"/>
      <c r="P50" s="44"/>
      <c r="Q50" s="44"/>
      <c r="R50" s="44"/>
    </row>
    <row r="51">
      <c r="A51" s="20" t="s">
        <v>436</v>
      </c>
      <c r="B51" s="20" t="s">
        <v>89</v>
      </c>
      <c r="C51" s="20" t="s">
        <v>437</v>
      </c>
      <c r="D51" s="20" t="s">
        <v>28</v>
      </c>
      <c r="E51" s="51">
        <f t="shared" si="1"/>
        <v>85</v>
      </c>
      <c r="F51" s="20">
        <v>70.0</v>
      </c>
      <c r="G51" s="20">
        <v>100.0</v>
      </c>
      <c r="H51" s="44"/>
      <c r="I51" s="44"/>
      <c r="J51" s="44"/>
      <c r="K51" s="20" t="s">
        <v>441</v>
      </c>
      <c r="L51" s="44"/>
      <c r="M51" s="44"/>
      <c r="N51" s="44"/>
      <c r="O51" s="44"/>
      <c r="P51" s="44"/>
      <c r="Q51" s="44"/>
      <c r="R51" s="44"/>
    </row>
    <row r="52">
      <c r="A52" s="20" t="s">
        <v>449</v>
      </c>
      <c r="B52" s="20" t="s">
        <v>170</v>
      </c>
      <c r="C52" s="44"/>
      <c r="D52" s="20" t="s">
        <v>28</v>
      </c>
      <c r="E52" s="51">
        <f t="shared" si="1"/>
        <v>37.5</v>
      </c>
      <c r="F52" s="20">
        <v>65.0</v>
      </c>
      <c r="G52" s="20">
        <v>10.0</v>
      </c>
      <c r="H52" s="44"/>
      <c r="I52" s="44"/>
      <c r="J52" s="44"/>
      <c r="K52" s="20" t="s">
        <v>451</v>
      </c>
      <c r="L52" s="44"/>
      <c r="M52" s="44"/>
      <c r="N52" s="44"/>
      <c r="O52" s="44"/>
      <c r="P52" s="44"/>
      <c r="Q52" s="44"/>
      <c r="R52" s="44"/>
    </row>
    <row r="53">
      <c r="A53" s="20" t="s">
        <v>449</v>
      </c>
      <c r="B53" s="20" t="s">
        <v>170</v>
      </c>
      <c r="C53" s="44"/>
      <c r="D53" s="20" t="s">
        <v>24</v>
      </c>
      <c r="E53" s="51">
        <f t="shared" si="1"/>
        <v>100</v>
      </c>
      <c r="F53" s="20">
        <v>100.0</v>
      </c>
      <c r="G53" s="20">
        <v>100.0</v>
      </c>
      <c r="H53" s="44"/>
      <c r="I53" s="44"/>
      <c r="J53" s="44"/>
      <c r="K53" s="20" t="s">
        <v>452</v>
      </c>
      <c r="L53" s="44"/>
      <c r="M53" s="44"/>
      <c r="N53" s="44"/>
      <c r="O53" s="44"/>
      <c r="P53" s="44"/>
      <c r="Q53" s="44"/>
      <c r="R53" s="44"/>
    </row>
    <row r="54">
      <c r="A54" s="20" t="s">
        <v>449</v>
      </c>
      <c r="B54" s="20" t="s">
        <v>456</v>
      </c>
      <c r="C54" s="44"/>
      <c r="D54" s="20" t="s">
        <v>32</v>
      </c>
      <c r="E54" s="51">
        <f t="shared" si="1"/>
        <v>61.66666667</v>
      </c>
      <c r="F54" s="20">
        <v>50.0</v>
      </c>
      <c r="G54" s="20">
        <v>85.0</v>
      </c>
      <c r="H54" s="20">
        <v>50.0</v>
      </c>
      <c r="I54" s="44"/>
      <c r="J54" s="44"/>
      <c r="K54" s="20" t="s">
        <v>459</v>
      </c>
      <c r="L54" s="44"/>
      <c r="M54" s="44"/>
      <c r="N54" s="44"/>
      <c r="O54" s="44"/>
      <c r="P54" s="44"/>
      <c r="Q54" s="44"/>
      <c r="R54" s="44"/>
    </row>
    <row r="55">
      <c r="A55" s="20" t="s">
        <v>465</v>
      </c>
      <c r="B55" s="20" t="s">
        <v>466</v>
      </c>
      <c r="C55" s="44"/>
      <c r="D55" s="20" t="s">
        <v>32</v>
      </c>
      <c r="E55" s="51">
        <f t="shared" si="1"/>
        <v>56</v>
      </c>
      <c r="F55" s="20">
        <v>56.0</v>
      </c>
      <c r="G55" s="44"/>
      <c r="H55" s="44"/>
      <c r="I55" s="44"/>
      <c r="J55" s="44"/>
      <c r="K55" s="20" t="s">
        <v>471</v>
      </c>
      <c r="L55" s="44"/>
      <c r="M55" s="44"/>
      <c r="N55" s="44"/>
      <c r="O55" s="44"/>
      <c r="P55" s="44"/>
      <c r="Q55" s="44"/>
      <c r="R55" s="44"/>
    </row>
    <row r="56">
      <c r="A56" s="20" t="s">
        <v>465</v>
      </c>
      <c r="B56" s="20" t="s">
        <v>466</v>
      </c>
      <c r="C56" s="44"/>
      <c r="D56" s="20" t="s">
        <v>28</v>
      </c>
      <c r="E56" s="51">
        <f t="shared" si="1"/>
        <v>100</v>
      </c>
      <c r="F56" s="20">
        <v>100.0</v>
      </c>
      <c r="G56" s="44"/>
      <c r="H56" s="44"/>
      <c r="I56" s="44"/>
      <c r="J56" s="44"/>
      <c r="K56" s="20" t="s">
        <v>470</v>
      </c>
      <c r="L56" s="44"/>
      <c r="M56" s="44"/>
      <c r="N56" s="44"/>
      <c r="O56" s="44"/>
      <c r="P56" s="44"/>
      <c r="Q56" s="44"/>
      <c r="R56" s="44"/>
    </row>
    <row r="57">
      <c r="A57" s="20" t="s">
        <v>465</v>
      </c>
      <c r="B57" s="20" t="s">
        <v>466</v>
      </c>
      <c r="C57" s="44"/>
      <c r="D57" s="20" t="s">
        <v>24</v>
      </c>
      <c r="E57" s="51">
        <f t="shared" si="1"/>
        <v>33</v>
      </c>
      <c r="F57" s="20">
        <v>33.0</v>
      </c>
      <c r="G57" s="44"/>
      <c r="H57" s="44"/>
      <c r="I57" s="44"/>
      <c r="J57" s="44"/>
      <c r="K57" s="20" t="s">
        <v>472</v>
      </c>
      <c r="L57" s="44"/>
      <c r="M57" s="44"/>
      <c r="N57" s="44"/>
      <c r="O57" s="44"/>
      <c r="P57" s="44"/>
      <c r="Q57" s="44"/>
      <c r="R57" s="44"/>
    </row>
    <row r="58">
      <c r="A58" s="20" t="s">
        <v>465</v>
      </c>
      <c r="B58" s="20" t="s">
        <v>466</v>
      </c>
      <c r="C58" s="44"/>
      <c r="D58" s="20" t="s">
        <v>59</v>
      </c>
      <c r="E58" s="51">
        <f t="shared" si="1"/>
        <v>100</v>
      </c>
      <c r="F58" s="20">
        <v>100.0</v>
      </c>
      <c r="G58" s="44"/>
      <c r="H58" s="44"/>
      <c r="I58" s="44"/>
      <c r="J58" s="44"/>
      <c r="K58" s="20" t="s">
        <v>473</v>
      </c>
      <c r="L58" s="44"/>
      <c r="M58" s="44"/>
      <c r="N58" s="44"/>
      <c r="O58" s="44"/>
      <c r="P58" s="44"/>
      <c r="Q58" s="44"/>
      <c r="R58" s="44"/>
    </row>
    <row r="59">
      <c r="A59" s="20" t="s">
        <v>648</v>
      </c>
      <c r="B59" s="20" t="s">
        <v>406</v>
      </c>
      <c r="C59" s="44"/>
      <c r="D59" s="20" t="s">
        <v>32</v>
      </c>
      <c r="E59" s="51">
        <f t="shared" si="1"/>
        <v>63.33333333</v>
      </c>
      <c r="F59" s="20">
        <v>100.0</v>
      </c>
      <c r="G59" s="20">
        <v>90.0</v>
      </c>
      <c r="H59" s="20">
        <v>0.0</v>
      </c>
      <c r="I59" s="44"/>
      <c r="J59" s="44"/>
      <c r="K59" s="20" t="s">
        <v>408</v>
      </c>
      <c r="L59" s="44"/>
      <c r="M59" s="44"/>
      <c r="N59" s="44"/>
      <c r="O59" s="44"/>
      <c r="P59" s="44"/>
      <c r="Q59" s="44"/>
      <c r="R59" s="44"/>
    </row>
    <row r="60">
      <c r="A60" s="20" t="s">
        <v>484</v>
      </c>
      <c r="B60" s="20" t="s">
        <v>485</v>
      </c>
      <c r="C60" s="44"/>
      <c r="D60" s="20" t="s">
        <v>28</v>
      </c>
      <c r="E60" s="51">
        <f t="shared" si="1"/>
        <v>58.33333333</v>
      </c>
      <c r="F60" s="20">
        <v>100.0</v>
      </c>
      <c r="G60" s="20">
        <v>50.0</v>
      </c>
      <c r="H60" s="20">
        <v>25.0</v>
      </c>
      <c r="I60" s="44"/>
      <c r="J60" s="44"/>
      <c r="K60" s="20" t="s">
        <v>488</v>
      </c>
      <c r="L60" s="44"/>
      <c r="M60" s="44"/>
      <c r="N60" s="44"/>
      <c r="O60" s="44"/>
      <c r="P60" s="44"/>
      <c r="Q60" s="44"/>
      <c r="R60" s="44"/>
    </row>
    <row r="61">
      <c r="A61" s="20" t="s">
        <v>484</v>
      </c>
      <c r="B61" s="20" t="s">
        <v>485</v>
      </c>
      <c r="C61" s="44"/>
      <c r="D61" s="20" t="s">
        <v>32</v>
      </c>
      <c r="E61" s="51">
        <f t="shared" si="1"/>
        <v>100</v>
      </c>
      <c r="F61" s="20">
        <v>100.0</v>
      </c>
      <c r="G61" s="20">
        <v>100.0</v>
      </c>
      <c r="H61" s="44"/>
      <c r="I61" s="44"/>
      <c r="J61" s="44"/>
      <c r="K61" s="20" t="s">
        <v>489</v>
      </c>
      <c r="L61" s="44"/>
      <c r="M61" s="44"/>
      <c r="N61" s="44"/>
      <c r="O61" s="44"/>
      <c r="P61" s="44"/>
      <c r="Q61" s="44"/>
      <c r="R61" s="44"/>
    </row>
    <row r="62">
      <c r="A62" s="20" t="s">
        <v>497</v>
      </c>
      <c r="B62" s="20" t="s">
        <v>498</v>
      </c>
      <c r="C62" s="44"/>
      <c r="D62" s="20" t="s">
        <v>32</v>
      </c>
      <c r="E62" s="51">
        <f t="shared" si="1"/>
        <v>70</v>
      </c>
      <c r="F62" s="20">
        <v>70.0</v>
      </c>
      <c r="G62" s="44"/>
      <c r="H62" s="44"/>
      <c r="I62" s="44"/>
      <c r="J62" s="44"/>
      <c r="K62" s="20" t="s">
        <v>500</v>
      </c>
      <c r="L62" s="44"/>
      <c r="M62" s="44"/>
      <c r="N62" s="44"/>
      <c r="O62" s="44"/>
      <c r="P62" s="44"/>
      <c r="Q62" s="44"/>
      <c r="R62" s="44"/>
    </row>
    <row r="63">
      <c r="A63" s="20" t="s">
        <v>497</v>
      </c>
      <c r="B63" s="20" t="s">
        <v>498</v>
      </c>
      <c r="C63" s="20" t="s">
        <v>501</v>
      </c>
      <c r="D63" s="20" t="s">
        <v>28</v>
      </c>
      <c r="E63" s="51">
        <f t="shared" si="1"/>
        <v>80</v>
      </c>
      <c r="F63" s="20">
        <v>80.0</v>
      </c>
      <c r="G63" s="44"/>
      <c r="H63" s="44"/>
      <c r="I63" s="44"/>
      <c r="J63" s="44"/>
      <c r="K63" s="20" t="s">
        <v>502</v>
      </c>
      <c r="L63" s="44"/>
      <c r="M63" s="44"/>
      <c r="N63" s="44"/>
      <c r="O63" s="44"/>
      <c r="P63" s="44"/>
      <c r="Q63" s="44"/>
      <c r="R63" s="44"/>
    </row>
    <row r="64">
      <c r="A64" s="20" t="s">
        <v>497</v>
      </c>
      <c r="B64" s="20" t="s">
        <v>498</v>
      </c>
      <c r="C64" s="44"/>
      <c r="D64" s="20" t="s">
        <v>24</v>
      </c>
      <c r="E64" s="51">
        <f t="shared" si="1"/>
        <v>0</v>
      </c>
      <c r="F64" s="20">
        <v>0.0</v>
      </c>
      <c r="G64" s="44"/>
      <c r="H64" s="44"/>
      <c r="I64" s="44"/>
      <c r="J64" s="44"/>
      <c r="K64" s="20" t="s">
        <v>503</v>
      </c>
      <c r="L64" s="44"/>
      <c r="M64" s="44"/>
      <c r="N64" s="44"/>
      <c r="O64" s="44"/>
      <c r="P64" s="44"/>
      <c r="Q64" s="44"/>
      <c r="R64" s="44"/>
    </row>
    <row r="65">
      <c r="A65" s="20" t="s">
        <v>497</v>
      </c>
      <c r="B65" s="20" t="s">
        <v>498</v>
      </c>
      <c r="C65" s="44"/>
      <c r="D65" s="20" t="s">
        <v>59</v>
      </c>
      <c r="E65" s="51">
        <f t="shared" si="1"/>
        <v>100</v>
      </c>
      <c r="F65" s="20">
        <v>100.0</v>
      </c>
      <c r="G65" s="20">
        <v>100.0</v>
      </c>
      <c r="H65" s="44"/>
      <c r="I65" s="44"/>
      <c r="J65" s="44"/>
      <c r="K65" s="20" t="s">
        <v>504</v>
      </c>
      <c r="L65" s="44"/>
      <c r="M65" s="44"/>
      <c r="N65" s="44"/>
      <c r="O65" s="44"/>
      <c r="P65" s="44"/>
      <c r="Q65" s="44"/>
      <c r="R65" s="44"/>
    </row>
    <row r="66">
      <c r="A66" s="9"/>
      <c r="B66" s="9"/>
      <c r="C66" s="9"/>
      <c r="D66" s="9"/>
      <c r="E66" s="52"/>
      <c r="F66" s="9"/>
      <c r="G66" s="9"/>
      <c r="H66" s="9"/>
      <c r="I66" s="9"/>
      <c r="J66" s="9"/>
      <c r="K66" s="9"/>
      <c r="L66" s="9"/>
      <c r="M66" s="9"/>
      <c r="N66" s="9"/>
      <c r="O66" s="9"/>
      <c r="P66" s="9"/>
      <c r="Q66" s="9"/>
      <c r="R66" s="9"/>
    </row>
    <row r="67">
      <c r="A67" s="9"/>
      <c r="B67" s="9"/>
      <c r="C67" s="9"/>
      <c r="D67" s="9"/>
      <c r="E67" s="52"/>
      <c r="F67" s="9"/>
      <c r="G67" s="9"/>
      <c r="H67" s="9"/>
      <c r="I67" s="9"/>
      <c r="J67" s="9"/>
      <c r="K67" s="9"/>
      <c r="L67" s="9"/>
      <c r="M67" s="9"/>
      <c r="N67" s="9"/>
      <c r="O67" s="9"/>
      <c r="P67" s="9"/>
      <c r="Q67" s="9"/>
      <c r="R67" s="9"/>
    </row>
    <row r="68">
      <c r="A68" s="9"/>
      <c r="B68" s="9"/>
      <c r="C68" s="9"/>
      <c r="D68" s="9"/>
      <c r="E68" s="52"/>
      <c r="F68" s="9"/>
      <c r="G68" s="9"/>
      <c r="H68" s="9"/>
      <c r="I68" s="9"/>
      <c r="J68" s="9"/>
      <c r="K68" s="9"/>
      <c r="L68" s="9"/>
      <c r="M68" s="9"/>
      <c r="N68" s="9"/>
      <c r="O68" s="9"/>
      <c r="P68" s="9"/>
      <c r="Q68" s="9"/>
      <c r="R68" s="9"/>
    </row>
    <row r="69">
      <c r="A69" s="9"/>
      <c r="B69" s="9"/>
      <c r="C69" s="9"/>
      <c r="D69" s="9"/>
      <c r="E69" s="52"/>
      <c r="F69" s="9"/>
      <c r="G69" s="9"/>
      <c r="H69" s="9"/>
      <c r="I69" s="9"/>
      <c r="J69" s="9"/>
      <c r="K69" s="9"/>
      <c r="L69" s="9"/>
      <c r="M69" s="9"/>
      <c r="N69" s="9"/>
      <c r="O69" s="9"/>
      <c r="P69" s="9"/>
      <c r="Q69" s="9"/>
      <c r="R69" s="9"/>
    </row>
    <row r="70">
      <c r="A70" s="9"/>
      <c r="B70" s="9"/>
      <c r="C70" s="9"/>
      <c r="D70" s="9"/>
      <c r="E70" s="52"/>
      <c r="F70" s="9"/>
      <c r="G70" s="9"/>
      <c r="H70" s="9"/>
      <c r="I70" s="9"/>
      <c r="J70" s="9"/>
      <c r="K70" s="9"/>
      <c r="L70" s="9"/>
      <c r="M70" s="9"/>
      <c r="N70" s="9"/>
      <c r="O70" s="9"/>
      <c r="P70" s="9"/>
      <c r="Q70" s="9"/>
      <c r="R70" s="9"/>
    </row>
    <row r="71">
      <c r="A71" s="9"/>
      <c r="B71" s="9"/>
      <c r="C71" s="9"/>
      <c r="D71" s="9"/>
      <c r="E71" s="52"/>
      <c r="F71" s="9"/>
      <c r="G71" s="9"/>
      <c r="H71" s="9"/>
      <c r="I71" s="9"/>
      <c r="J71" s="9"/>
      <c r="K71" s="9"/>
      <c r="L71" s="9"/>
      <c r="M71" s="9"/>
      <c r="N71" s="9"/>
      <c r="O71" s="9"/>
      <c r="P71" s="9"/>
      <c r="Q71" s="9"/>
      <c r="R71" s="9"/>
    </row>
    <row r="72">
      <c r="A72" s="9"/>
      <c r="B72" s="9"/>
      <c r="C72" s="9"/>
      <c r="D72" s="9"/>
      <c r="E72" s="52"/>
      <c r="F72" s="9"/>
      <c r="G72" s="9"/>
      <c r="H72" s="9"/>
      <c r="I72" s="9"/>
      <c r="J72" s="9"/>
      <c r="K72" s="9"/>
      <c r="L72" s="9"/>
      <c r="M72" s="9"/>
      <c r="N72" s="9"/>
      <c r="O72" s="9"/>
      <c r="P72" s="9"/>
      <c r="Q72" s="9"/>
      <c r="R72" s="9"/>
    </row>
    <row r="73">
      <c r="A73" s="9"/>
      <c r="B73" s="9"/>
      <c r="C73" s="9"/>
      <c r="D73" s="9"/>
      <c r="E73" s="52"/>
      <c r="F73" s="9"/>
      <c r="G73" s="9"/>
      <c r="H73" s="9"/>
      <c r="I73" s="9"/>
      <c r="J73" s="9"/>
      <c r="K73" s="9"/>
      <c r="L73" s="9"/>
      <c r="M73" s="9"/>
      <c r="N73" s="9"/>
      <c r="O73" s="9"/>
      <c r="P73" s="9"/>
      <c r="Q73" s="9"/>
      <c r="R73" s="9"/>
    </row>
    <row r="74">
      <c r="A74" s="9"/>
      <c r="B74" s="9"/>
      <c r="C74" s="9"/>
      <c r="D74" s="9"/>
      <c r="E74" s="52"/>
      <c r="F74" s="9"/>
      <c r="G74" s="9"/>
      <c r="H74" s="9"/>
      <c r="I74" s="9"/>
      <c r="J74" s="9"/>
      <c r="K74" s="9"/>
      <c r="L74" s="9"/>
      <c r="M74" s="9"/>
      <c r="N74" s="9"/>
      <c r="O74" s="9"/>
      <c r="P74" s="9"/>
      <c r="Q74" s="9"/>
      <c r="R74" s="9"/>
    </row>
    <row r="75">
      <c r="A75" s="9"/>
      <c r="B75" s="9"/>
      <c r="C75" s="9"/>
      <c r="D75" s="9"/>
      <c r="E75" s="52"/>
      <c r="F75" s="9"/>
      <c r="G75" s="9"/>
      <c r="H75" s="9"/>
      <c r="I75" s="9"/>
      <c r="J75" s="9"/>
      <c r="K75" s="9"/>
      <c r="L75" s="9"/>
      <c r="M75" s="9"/>
      <c r="N75" s="9"/>
      <c r="O75" s="9"/>
      <c r="P75" s="9"/>
      <c r="Q75" s="9"/>
      <c r="R75" s="9"/>
    </row>
    <row r="76">
      <c r="A76" s="9"/>
      <c r="B76" s="9"/>
      <c r="C76" s="9"/>
      <c r="D76" s="9"/>
      <c r="E76" s="52"/>
      <c r="F76" s="9"/>
      <c r="G76" s="9"/>
      <c r="H76" s="9"/>
      <c r="I76" s="9"/>
      <c r="J76" s="9"/>
      <c r="K76" s="9"/>
      <c r="L76" s="9"/>
      <c r="M76" s="9"/>
      <c r="N76" s="9"/>
      <c r="O76" s="9"/>
      <c r="P76" s="9"/>
      <c r="Q76" s="9"/>
      <c r="R76" s="9"/>
    </row>
    <row r="77">
      <c r="A77" s="9"/>
      <c r="B77" s="9"/>
      <c r="C77" s="9"/>
      <c r="D77" s="9"/>
      <c r="E77" s="52"/>
      <c r="F77" s="9"/>
      <c r="G77" s="9"/>
      <c r="H77" s="9"/>
      <c r="I77" s="9"/>
      <c r="J77" s="9"/>
      <c r="K77" s="9"/>
      <c r="L77" s="9"/>
      <c r="M77" s="9"/>
      <c r="N77" s="9"/>
      <c r="O77" s="9"/>
      <c r="P77" s="9"/>
      <c r="Q77" s="9"/>
      <c r="R77" s="9"/>
    </row>
    <row r="78">
      <c r="A78" s="9"/>
      <c r="B78" s="9"/>
      <c r="C78" s="9"/>
      <c r="D78" s="9"/>
      <c r="E78" s="52"/>
      <c r="F78" s="9"/>
      <c r="G78" s="9"/>
      <c r="H78" s="9"/>
      <c r="I78" s="9"/>
      <c r="J78" s="9"/>
      <c r="K78" s="9"/>
      <c r="L78" s="9"/>
      <c r="M78" s="9"/>
      <c r="N78" s="9"/>
      <c r="O78" s="9"/>
      <c r="P78" s="9"/>
      <c r="Q78" s="9"/>
      <c r="R78" s="9"/>
    </row>
    <row r="79">
      <c r="A79" s="9"/>
      <c r="B79" s="9"/>
      <c r="C79" s="9"/>
      <c r="D79" s="9"/>
      <c r="E79" s="52"/>
      <c r="F79" s="9"/>
      <c r="G79" s="9"/>
      <c r="H79" s="9"/>
      <c r="I79" s="9"/>
      <c r="J79" s="9"/>
      <c r="K79" s="9"/>
      <c r="L79" s="9"/>
      <c r="M79" s="9"/>
      <c r="N79" s="9"/>
      <c r="O79" s="9"/>
      <c r="P79" s="9"/>
      <c r="Q79" s="9"/>
      <c r="R79" s="9"/>
    </row>
    <row r="80">
      <c r="A80" s="9"/>
      <c r="B80" s="9"/>
      <c r="C80" s="9"/>
      <c r="D80" s="9"/>
      <c r="E80" s="52"/>
      <c r="F80" s="9"/>
      <c r="G80" s="9"/>
      <c r="H80" s="9"/>
      <c r="I80" s="9"/>
      <c r="J80" s="9"/>
      <c r="K80" s="9"/>
      <c r="L80" s="9"/>
      <c r="M80" s="9"/>
      <c r="N80" s="9"/>
      <c r="O80" s="9"/>
      <c r="P80" s="9"/>
      <c r="Q80" s="9"/>
      <c r="R80" s="9"/>
    </row>
    <row r="81">
      <c r="A81" s="9"/>
      <c r="B81" s="9"/>
      <c r="C81" s="9"/>
      <c r="D81" s="9"/>
      <c r="E81" s="52"/>
      <c r="F81" s="9"/>
      <c r="G81" s="9"/>
      <c r="H81" s="9"/>
      <c r="I81" s="9"/>
      <c r="J81" s="9"/>
      <c r="K81" s="9"/>
      <c r="L81" s="9"/>
      <c r="M81" s="9"/>
      <c r="N81" s="9"/>
      <c r="O81" s="9"/>
      <c r="P81" s="9"/>
      <c r="Q81" s="9"/>
      <c r="R81" s="9"/>
    </row>
    <row r="82">
      <c r="A82" s="9"/>
      <c r="B82" s="9"/>
      <c r="C82" s="9"/>
      <c r="D82" s="9"/>
      <c r="E82" s="52"/>
      <c r="F82" s="9"/>
      <c r="G82" s="9"/>
      <c r="H82" s="9"/>
      <c r="I82" s="9"/>
      <c r="J82" s="9"/>
      <c r="K82" s="9"/>
      <c r="L82" s="9"/>
      <c r="M82" s="9"/>
      <c r="N82" s="9"/>
      <c r="O82" s="9"/>
      <c r="P82" s="9"/>
      <c r="Q82" s="9"/>
      <c r="R82" s="9"/>
    </row>
    <row r="83">
      <c r="A83" s="9"/>
      <c r="B83" s="9"/>
      <c r="C83" s="9"/>
      <c r="D83" s="9"/>
      <c r="E83" s="52"/>
      <c r="F83" s="9"/>
      <c r="G83" s="9"/>
      <c r="H83" s="9"/>
      <c r="I83" s="9"/>
      <c r="J83" s="9"/>
      <c r="K83" s="9"/>
      <c r="L83" s="9"/>
      <c r="M83" s="9"/>
      <c r="N83" s="9"/>
      <c r="O83" s="9"/>
      <c r="P83" s="9"/>
      <c r="Q83" s="9"/>
      <c r="R83" s="9"/>
    </row>
    <row r="84">
      <c r="A84" s="9"/>
      <c r="B84" s="9"/>
      <c r="C84" s="9"/>
      <c r="D84" s="9"/>
      <c r="E84" s="52"/>
      <c r="F84" s="9"/>
      <c r="G84" s="9"/>
      <c r="H84" s="9"/>
      <c r="I84" s="9"/>
      <c r="J84" s="9"/>
      <c r="K84" s="9"/>
      <c r="L84" s="9"/>
      <c r="M84" s="9"/>
      <c r="N84" s="9"/>
      <c r="O84" s="9"/>
      <c r="P84" s="9"/>
      <c r="Q84" s="9"/>
      <c r="R84" s="9"/>
    </row>
    <row r="85">
      <c r="A85" s="9"/>
      <c r="B85" s="9"/>
      <c r="C85" s="9"/>
      <c r="D85" s="9"/>
      <c r="E85" s="52"/>
      <c r="F85" s="9"/>
      <c r="G85" s="9"/>
      <c r="H85" s="9"/>
      <c r="I85" s="9"/>
      <c r="J85" s="9"/>
      <c r="K85" s="9"/>
      <c r="L85" s="9"/>
      <c r="M85" s="9"/>
      <c r="N85" s="9"/>
      <c r="O85" s="9"/>
      <c r="P85" s="9"/>
      <c r="Q85" s="9"/>
      <c r="R85" s="9"/>
    </row>
    <row r="86">
      <c r="A86" s="9"/>
      <c r="B86" s="9"/>
      <c r="C86" s="9"/>
      <c r="D86" s="9"/>
      <c r="E86" s="52"/>
      <c r="F86" s="9"/>
      <c r="G86" s="9"/>
      <c r="H86" s="9"/>
      <c r="I86" s="9"/>
      <c r="J86" s="9"/>
      <c r="K86" s="9"/>
      <c r="L86" s="9"/>
      <c r="M86" s="9"/>
      <c r="N86" s="9"/>
      <c r="O86" s="9"/>
      <c r="P86" s="9"/>
      <c r="Q86" s="9"/>
      <c r="R86" s="9"/>
    </row>
    <row r="87">
      <c r="A87" s="9"/>
      <c r="B87" s="9"/>
      <c r="C87" s="9"/>
      <c r="D87" s="9"/>
      <c r="E87" s="52"/>
      <c r="F87" s="9"/>
      <c r="G87" s="9"/>
      <c r="H87" s="9"/>
      <c r="I87" s="9"/>
      <c r="J87" s="9"/>
      <c r="K87" s="9"/>
      <c r="L87" s="9"/>
      <c r="M87" s="9"/>
      <c r="N87" s="9"/>
      <c r="O87" s="9"/>
      <c r="P87" s="9"/>
      <c r="Q87" s="9"/>
      <c r="R87" s="9"/>
    </row>
    <row r="88">
      <c r="A88" s="9"/>
      <c r="B88" s="9"/>
      <c r="C88" s="9"/>
      <c r="D88" s="9"/>
      <c r="E88" s="52"/>
      <c r="F88" s="9"/>
      <c r="G88" s="9"/>
      <c r="H88" s="9"/>
      <c r="I88" s="9"/>
      <c r="J88" s="9"/>
      <c r="K88" s="9"/>
      <c r="L88" s="9"/>
      <c r="M88" s="9"/>
      <c r="N88" s="9"/>
      <c r="O88" s="9"/>
      <c r="P88" s="9"/>
      <c r="Q88" s="9"/>
      <c r="R88" s="9"/>
    </row>
    <row r="89">
      <c r="A89" s="9"/>
      <c r="B89" s="9"/>
      <c r="C89" s="9"/>
      <c r="D89" s="9"/>
      <c r="E89" s="52"/>
      <c r="F89" s="9"/>
      <c r="G89" s="9"/>
      <c r="H89" s="9"/>
      <c r="I89" s="9"/>
      <c r="J89" s="9"/>
      <c r="K89" s="9"/>
      <c r="L89" s="9"/>
      <c r="M89" s="9"/>
      <c r="N89" s="9"/>
      <c r="O89" s="9"/>
      <c r="P89" s="9"/>
      <c r="Q89" s="9"/>
      <c r="R89" s="9"/>
    </row>
    <row r="90">
      <c r="A90" s="9"/>
      <c r="B90" s="9"/>
      <c r="C90" s="9"/>
      <c r="D90" s="9"/>
      <c r="E90" s="52"/>
      <c r="F90" s="9"/>
      <c r="G90" s="9"/>
      <c r="H90" s="9"/>
      <c r="I90" s="9"/>
      <c r="J90" s="9"/>
      <c r="K90" s="9"/>
      <c r="L90" s="9"/>
      <c r="M90" s="9"/>
      <c r="N90" s="9"/>
      <c r="O90" s="9"/>
      <c r="P90" s="9"/>
      <c r="Q90" s="9"/>
      <c r="R90" s="9"/>
    </row>
    <row r="91">
      <c r="A91" s="9"/>
      <c r="B91" s="9"/>
      <c r="C91" s="9"/>
      <c r="D91" s="9"/>
      <c r="E91" s="52"/>
      <c r="F91" s="9"/>
      <c r="G91" s="9"/>
      <c r="H91" s="9"/>
      <c r="I91" s="9"/>
      <c r="J91" s="9"/>
      <c r="K91" s="9"/>
      <c r="L91" s="9"/>
      <c r="M91" s="9"/>
      <c r="N91" s="9"/>
      <c r="O91" s="9"/>
      <c r="P91" s="9"/>
      <c r="Q91" s="9"/>
      <c r="R91" s="9"/>
    </row>
    <row r="92">
      <c r="A92" s="9"/>
      <c r="B92" s="9"/>
      <c r="C92" s="9"/>
      <c r="D92" s="9"/>
      <c r="E92" s="52"/>
      <c r="F92" s="9"/>
      <c r="G92" s="9"/>
      <c r="H92" s="9"/>
      <c r="I92" s="9"/>
      <c r="J92" s="9"/>
      <c r="K92" s="9"/>
      <c r="L92" s="9"/>
      <c r="M92" s="9"/>
      <c r="N92" s="9"/>
      <c r="O92" s="9"/>
      <c r="P92" s="9"/>
      <c r="Q92" s="9"/>
      <c r="R92" s="9"/>
    </row>
    <row r="93">
      <c r="A93" s="9"/>
      <c r="B93" s="9"/>
      <c r="C93" s="9"/>
      <c r="D93" s="9"/>
      <c r="E93" s="52"/>
      <c r="F93" s="9"/>
      <c r="G93" s="9"/>
      <c r="H93" s="9"/>
      <c r="I93" s="9"/>
      <c r="J93" s="9"/>
      <c r="K93" s="9"/>
      <c r="L93" s="9"/>
      <c r="M93" s="9"/>
      <c r="N93" s="9"/>
      <c r="O93" s="9"/>
      <c r="P93" s="9"/>
      <c r="Q93" s="9"/>
      <c r="R93" s="9"/>
    </row>
    <row r="94">
      <c r="A94" s="9"/>
      <c r="B94" s="9"/>
      <c r="C94" s="9"/>
      <c r="D94" s="9"/>
      <c r="E94" s="52"/>
      <c r="F94" s="9"/>
      <c r="G94" s="9"/>
      <c r="H94" s="9"/>
      <c r="I94" s="9"/>
      <c r="J94" s="9"/>
      <c r="K94" s="9"/>
      <c r="L94" s="9"/>
      <c r="M94" s="9"/>
      <c r="N94" s="9"/>
      <c r="O94" s="9"/>
      <c r="P94" s="9"/>
      <c r="Q94" s="9"/>
      <c r="R94" s="9"/>
    </row>
    <row r="95">
      <c r="A95" s="9"/>
      <c r="B95" s="9"/>
      <c r="C95" s="9"/>
      <c r="D95" s="9"/>
      <c r="E95" s="52"/>
      <c r="F95" s="9"/>
      <c r="G95" s="9"/>
      <c r="H95" s="9"/>
      <c r="I95" s="9"/>
      <c r="J95" s="9"/>
      <c r="K95" s="9"/>
      <c r="L95" s="9"/>
      <c r="M95" s="9"/>
      <c r="N95" s="9"/>
      <c r="O95" s="9"/>
      <c r="P95" s="9"/>
      <c r="Q95" s="9"/>
      <c r="R95" s="9"/>
    </row>
    <row r="96">
      <c r="A96" s="9"/>
      <c r="B96" s="9"/>
      <c r="C96" s="9"/>
      <c r="D96" s="9"/>
      <c r="E96" s="52"/>
      <c r="F96" s="9"/>
      <c r="G96" s="9"/>
      <c r="H96" s="9"/>
      <c r="I96" s="9"/>
      <c r="J96" s="9"/>
      <c r="K96" s="9"/>
      <c r="L96" s="9"/>
      <c r="M96" s="9"/>
      <c r="N96" s="9"/>
      <c r="O96" s="9"/>
      <c r="P96" s="9"/>
      <c r="Q96" s="9"/>
      <c r="R96" s="9"/>
    </row>
    <row r="97">
      <c r="A97" s="9"/>
      <c r="B97" s="9"/>
      <c r="C97" s="9"/>
      <c r="D97" s="9"/>
      <c r="E97" s="52"/>
      <c r="F97" s="9"/>
      <c r="G97" s="9"/>
      <c r="H97" s="9"/>
      <c r="I97" s="9"/>
      <c r="J97" s="9"/>
      <c r="K97" s="9"/>
      <c r="L97" s="9"/>
      <c r="M97" s="9"/>
      <c r="N97" s="9"/>
      <c r="O97" s="9"/>
      <c r="P97" s="9"/>
      <c r="Q97" s="9"/>
      <c r="R97" s="9"/>
    </row>
    <row r="98">
      <c r="A98" s="9"/>
      <c r="B98" s="9"/>
      <c r="C98" s="9"/>
      <c r="D98" s="9"/>
      <c r="E98" s="52"/>
      <c r="F98" s="9"/>
      <c r="G98" s="9"/>
      <c r="H98" s="9"/>
      <c r="I98" s="9"/>
      <c r="J98" s="9"/>
      <c r="K98" s="9"/>
      <c r="L98" s="9"/>
      <c r="M98" s="9"/>
      <c r="N98" s="9"/>
      <c r="O98" s="9"/>
      <c r="P98" s="9"/>
      <c r="Q98" s="9"/>
      <c r="R98" s="9"/>
    </row>
    <row r="99">
      <c r="A99" s="9"/>
      <c r="B99" s="9"/>
      <c r="C99" s="9"/>
      <c r="D99" s="9"/>
      <c r="E99" s="52"/>
      <c r="F99" s="9"/>
      <c r="G99" s="9"/>
      <c r="H99" s="9"/>
      <c r="I99" s="9"/>
      <c r="J99" s="9"/>
      <c r="K99" s="9"/>
      <c r="L99" s="9"/>
      <c r="M99" s="9"/>
      <c r="N99" s="9"/>
      <c r="O99" s="9"/>
      <c r="P99" s="9"/>
      <c r="Q99" s="9"/>
      <c r="R99" s="9"/>
    </row>
    <row r="100">
      <c r="A100" s="9"/>
      <c r="B100" s="9"/>
      <c r="C100" s="9"/>
      <c r="D100" s="9"/>
      <c r="E100" s="52"/>
      <c r="F100" s="9"/>
      <c r="G100" s="9"/>
      <c r="H100" s="9"/>
      <c r="I100" s="9"/>
      <c r="J100" s="9"/>
      <c r="K100" s="9"/>
      <c r="L100" s="9"/>
      <c r="M100" s="9"/>
      <c r="N100" s="9"/>
      <c r="O100" s="9"/>
      <c r="P100" s="9"/>
      <c r="Q100" s="9"/>
      <c r="R100" s="9"/>
    </row>
    <row r="101">
      <c r="A101" s="9"/>
      <c r="B101" s="9"/>
      <c r="C101" s="9"/>
      <c r="D101" s="9"/>
      <c r="E101" s="52"/>
      <c r="F101" s="9"/>
      <c r="G101" s="9"/>
      <c r="H101" s="9"/>
      <c r="I101" s="9"/>
      <c r="J101" s="9"/>
      <c r="K101" s="9"/>
      <c r="L101" s="9"/>
      <c r="M101" s="9"/>
      <c r="N101" s="9"/>
      <c r="O101" s="9"/>
      <c r="P101" s="9"/>
      <c r="Q101" s="9"/>
      <c r="R101" s="9"/>
    </row>
    <row r="102">
      <c r="A102" s="9"/>
      <c r="B102" s="9"/>
      <c r="C102" s="9"/>
      <c r="D102" s="9"/>
      <c r="E102" s="52"/>
      <c r="F102" s="9"/>
      <c r="G102" s="9"/>
      <c r="H102" s="9"/>
      <c r="I102" s="9"/>
      <c r="J102" s="9"/>
      <c r="K102" s="9"/>
      <c r="L102" s="9"/>
      <c r="M102" s="9"/>
      <c r="N102" s="9"/>
      <c r="O102" s="9"/>
      <c r="P102" s="9"/>
      <c r="Q102" s="9"/>
      <c r="R102" s="9"/>
    </row>
    <row r="103">
      <c r="A103" s="9"/>
      <c r="B103" s="9"/>
      <c r="C103" s="9"/>
      <c r="D103" s="9"/>
      <c r="E103" s="52"/>
      <c r="F103" s="9"/>
      <c r="G103" s="9"/>
      <c r="H103" s="9"/>
      <c r="I103" s="9"/>
      <c r="J103" s="9"/>
      <c r="K103" s="9"/>
      <c r="L103" s="9"/>
      <c r="M103" s="9"/>
      <c r="N103" s="9"/>
      <c r="O103" s="9"/>
      <c r="P103" s="9"/>
      <c r="Q103" s="9"/>
      <c r="R103" s="9"/>
    </row>
    <row r="104">
      <c r="A104" s="9"/>
      <c r="B104" s="9"/>
      <c r="C104" s="9"/>
      <c r="D104" s="9"/>
      <c r="E104" s="52"/>
      <c r="F104" s="9"/>
      <c r="G104" s="9"/>
      <c r="H104" s="9"/>
      <c r="I104" s="9"/>
      <c r="J104" s="9"/>
      <c r="K104" s="9"/>
      <c r="L104" s="9"/>
      <c r="M104" s="9"/>
      <c r="N104" s="9"/>
      <c r="O104" s="9"/>
      <c r="P104" s="9"/>
      <c r="Q104" s="9"/>
      <c r="R104" s="9"/>
    </row>
    <row r="105">
      <c r="A105" s="9"/>
      <c r="B105" s="9"/>
      <c r="C105" s="9"/>
      <c r="D105" s="9"/>
      <c r="E105" s="52"/>
      <c r="F105" s="9"/>
      <c r="G105" s="9"/>
      <c r="H105" s="9"/>
      <c r="I105" s="9"/>
      <c r="J105" s="9"/>
      <c r="K105" s="9"/>
      <c r="L105" s="9"/>
      <c r="M105" s="9"/>
      <c r="N105" s="9"/>
      <c r="O105" s="9"/>
      <c r="P105" s="9"/>
      <c r="Q105" s="9"/>
      <c r="R105" s="9"/>
    </row>
    <row r="106">
      <c r="A106" s="9"/>
      <c r="B106" s="9"/>
      <c r="C106" s="9"/>
      <c r="D106" s="9"/>
      <c r="E106" s="52"/>
      <c r="F106" s="9"/>
      <c r="G106" s="9"/>
      <c r="H106" s="9"/>
      <c r="I106" s="9"/>
      <c r="J106" s="9"/>
      <c r="K106" s="9"/>
      <c r="L106" s="9"/>
      <c r="M106" s="9"/>
      <c r="N106" s="9"/>
      <c r="O106" s="9"/>
      <c r="P106" s="9"/>
      <c r="Q106" s="9"/>
      <c r="R106" s="9"/>
    </row>
    <row r="107">
      <c r="A107" s="9"/>
      <c r="B107" s="9"/>
      <c r="C107" s="9"/>
      <c r="D107" s="9"/>
      <c r="E107" s="52"/>
      <c r="F107" s="9"/>
      <c r="G107" s="9"/>
      <c r="H107" s="9"/>
      <c r="I107" s="9"/>
      <c r="J107" s="9"/>
      <c r="K107" s="9"/>
      <c r="L107" s="9"/>
      <c r="M107" s="9"/>
      <c r="N107" s="9"/>
      <c r="O107" s="9"/>
      <c r="P107" s="9"/>
      <c r="Q107" s="9"/>
      <c r="R107" s="9"/>
    </row>
    <row r="108">
      <c r="A108" s="9"/>
      <c r="B108" s="9"/>
      <c r="C108" s="9"/>
      <c r="D108" s="9"/>
      <c r="E108" s="52"/>
      <c r="F108" s="9"/>
      <c r="G108" s="9"/>
      <c r="H108" s="9"/>
      <c r="I108" s="9"/>
      <c r="J108" s="9"/>
      <c r="K108" s="9"/>
      <c r="L108" s="9"/>
      <c r="M108" s="9"/>
      <c r="N108" s="9"/>
      <c r="O108" s="9"/>
      <c r="P108" s="9"/>
      <c r="Q108" s="9"/>
      <c r="R108" s="9"/>
    </row>
    <row r="109">
      <c r="A109" s="9"/>
      <c r="B109" s="9"/>
      <c r="C109" s="9"/>
      <c r="D109" s="9"/>
      <c r="E109" s="52"/>
      <c r="F109" s="9"/>
      <c r="G109" s="9"/>
      <c r="H109" s="9"/>
      <c r="I109" s="9"/>
      <c r="J109" s="9"/>
      <c r="K109" s="9"/>
      <c r="L109" s="9"/>
      <c r="M109" s="9"/>
      <c r="N109" s="9"/>
      <c r="O109" s="9"/>
      <c r="P109" s="9"/>
      <c r="Q109" s="9"/>
      <c r="R109" s="9"/>
    </row>
    <row r="110">
      <c r="A110" s="9"/>
      <c r="B110" s="9"/>
      <c r="C110" s="9"/>
      <c r="D110" s="9"/>
      <c r="E110" s="52"/>
      <c r="F110" s="9"/>
      <c r="G110" s="9"/>
      <c r="H110" s="9"/>
      <c r="I110" s="9"/>
      <c r="J110" s="9"/>
      <c r="K110" s="9"/>
      <c r="L110" s="9"/>
      <c r="M110" s="9"/>
      <c r="N110" s="9"/>
      <c r="O110" s="9"/>
      <c r="P110" s="9"/>
      <c r="Q110" s="9"/>
      <c r="R110" s="9"/>
    </row>
    <row r="111">
      <c r="A111" s="9"/>
      <c r="B111" s="9"/>
      <c r="C111" s="9"/>
      <c r="D111" s="9"/>
      <c r="E111" s="52"/>
      <c r="F111" s="9"/>
      <c r="G111" s="9"/>
      <c r="H111" s="9"/>
      <c r="I111" s="9"/>
      <c r="J111" s="9"/>
      <c r="K111" s="9"/>
      <c r="L111" s="9"/>
      <c r="M111" s="9"/>
      <c r="N111" s="9"/>
      <c r="O111" s="9"/>
      <c r="P111" s="9"/>
      <c r="Q111" s="9"/>
      <c r="R111" s="9"/>
    </row>
    <row r="112">
      <c r="A112" s="9"/>
      <c r="B112" s="9"/>
      <c r="C112" s="9"/>
      <c r="D112" s="9"/>
      <c r="E112" s="52"/>
      <c r="F112" s="9"/>
      <c r="G112" s="9"/>
      <c r="H112" s="9"/>
      <c r="I112" s="9"/>
      <c r="J112" s="9"/>
      <c r="K112" s="9"/>
      <c r="L112" s="9"/>
      <c r="M112" s="9"/>
      <c r="N112" s="9"/>
      <c r="O112" s="9"/>
      <c r="P112" s="9"/>
      <c r="Q112" s="9"/>
      <c r="R112" s="9"/>
    </row>
    <row r="113">
      <c r="A113" s="9"/>
      <c r="B113" s="9"/>
      <c r="C113" s="9"/>
      <c r="D113" s="9"/>
      <c r="E113" s="52"/>
      <c r="F113" s="9"/>
      <c r="G113" s="9"/>
      <c r="H113" s="9"/>
      <c r="I113" s="9"/>
      <c r="J113" s="9"/>
      <c r="K113" s="9"/>
      <c r="L113" s="9"/>
      <c r="M113" s="9"/>
      <c r="N113" s="9"/>
      <c r="O113" s="9"/>
      <c r="P113" s="9"/>
      <c r="Q113" s="9"/>
      <c r="R113" s="9"/>
    </row>
    <row r="114">
      <c r="A114" s="9"/>
      <c r="B114" s="9"/>
      <c r="C114" s="9"/>
      <c r="D114" s="9"/>
      <c r="E114" s="52"/>
      <c r="F114" s="9"/>
      <c r="G114" s="9"/>
      <c r="H114" s="9"/>
      <c r="I114" s="9"/>
      <c r="J114" s="9"/>
      <c r="K114" s="9"/>
      <c r="L114" s="9"/>
      <c r="M114" s="9"/>
      <c r="N114" s="9"/>
      <c r="O114" s="9"/>
      <c r="P114" s="9"/>
      <c r="Q114" s="9"/>
      <c r="R114" s="9"/>
    </row>
    <row r="115">
      <c r="A115" s="9"/>
      <c r="B115" s="9"/>
      <c r="C115" s="9"/>
      <c r="D115" s="9"/>
      <c r="E115" s="52"/>
      <c r="F115" s="9"/>
      <c r="G115" s="9"/>
      <c r="H115" s="9"/>
      <c r="I115" s="9"/>
      <c r="J115" s="9"/>
      <c r="K115" s="9"/>
      <c r="L115" s="9"/>
      <c r="M115" s="9"/>
      <c r="N115" s="9"/>
      <c r="O115" s="9"/>
      <c r="P115" s="9"/>
      <c r="Q115" s="9"/>
      <c r="R115" s="9"/>
    </row>
    <row r="116">
      <c r="A116" s="9"/>
      <c r="B116" s="9"/>
      <c r="C116" s="9"/>
      <c r="D116" s="9"/>
      <c r="E116" s="52"/>
      <c r="F116" s="9"/>
      <c r="G116" s="9"/>
      <c r="H116" s="9"/>
      <c r="I116" s="9"/>
      <c r="J116" s="9"/>
      <c r="K116" s="9"/>
      <c r="L116" s="9"/>
      <c r="M116" s="9"/>
      <c r="N116" s="9"/>
      <c r="O116" s="9"/>
      <c r="P116" s="9"/>
      <c r="Q116" s="9"/>
      <c r="R116" s="9"/>
    </row>
    <row r="117">
      <c r="A117" s="9"/>
      <c r="B117" s="9"/>
      <c r="C117" s="9"/>
      <c r="D117" s="9"/>
      <c r="E117" s="52"/>
      <c r="F117" s="9"/>
      <c r="G117" s="9"/>
      <c r="H117" s="9"/>
      <c r="I117" s="9"/>
      <c r="J117" s="9"/>
      <c r="K117" s="9"/>
      <c r="L117" s="9"/>
      <c r="M117" s="9"/>
      <c r="N117" s="9"/>
      <c r="O117" s="9"/>
      <c r="P117" s="9"/>
      <c r="Q117" s="9"/>
      <c r="R117" s="9"/>
    </row>
    <row r="118">
      <c r="A118" s="9"/>
      <c r="B118" s="9"/>
      <c r="C118" s="9"/>
      <c r="D118" s="9"/>
      <c r="E118" s="52"/>
      <c r="F118" s="9"/>
      <c r="G118" s="9"/>
      <c r="H118" s="9"/>
      <c r="I118" s="9"/>
      <c r="J118" s="9"/>
      <c r="K118" s="9"/>
      <c r="L118" s="9"/>
      <c r="M118" s="9"/>
      <c r="N118" s="9"/>
      <c r="O118" s="9"/>
      <c r="P118" s="9"/>
      <c r="Q118" s="9"/>
      <c r="R118" s="9"/>
    </row>
    <row r="119">
      <c r="A119" s="9"/>
      <c r="B119" s="9"/>
      <c r="C119" s="9"/>
      <c r="D119" s="9"/>
      <c r="E119" s="52"/>
      <c r="F119" s="9"/>
      <c r="G119" s="9"/>
      <c r="H119" s="9"/>
      <c r="I119" s="9"/>
      <c r="J119" s="9"/>
      <c r="K119" s="9"/>
      <c r="L119" s="9"/>
      <c r="M119" s="9"/>
      <c r="N119" s="9"/>
      <c r="O119" s="9"/>
      <c r="P119" s="9"/>
      <c r="Q119" s="9"/>
      <c r="R119" s="9"/>
    </row>
    <row r="120">
      <c r="A120" s="9"/>
      <c r="B120" s="9"/>
      <c r="C120" s="9"/>
      <c r="D120" s="9"/>
      <c r="E120" s="52"/>
      <c r="F120" s="9"/>
      <c r="G120" s="9"/>
      <c r="H120" s="9"/>
      <c r="I120" s="9"/>
      <c r="J120" s="9"/>
      <c r="K120" s="9"/>
      <c r="L120" s="9"/>
      <c r="M120" s="9"/>
      <c r="N120" s="9"/>
      <c r="O120" s="9"/>
      <c r="P120" s="9"/>
      <c r="Q120" s="9"/>
      <c r="R120" s="9"/>
    </row>
    <row r="121">
      <c r="A121" s="9"/>
      <c r="B121" s="9"/>
      <c r="C121" s="9"/>
      <c r="D121" s="9"/>
      <c r="E121" s="52"/>
      <c r="F121" s="9"/>
      <c r="G121" s="9"/>
      <c r="H121" s="9"/>
      <c r="I121" s="9"/>
      <c r="J121" s="9"/>
      <c r="K121" s="9"/>
      <c r="L121" s="9"/>
      <c r="M121" s="9"/>
      <c r="N121" s="9"/>
      <c r="O121" s="9"/>
      <c r="P121" s="9"/>
      <c r="Q121" s="9"/>
      <c r="R121" s="9"/>
    </row>
    <row r="122">
      <c r="A122" s="9"/>
      <c r="B122" s="9"/>
      <c r="C122" s="9"/>
      <c r="D122" s="9"/>
      <c r="E122" s="52"/>
      <c r="F122" s="9"/>
      <c r="G122" s="9"/>
      <c r="H122" s="9"/>
      <c r="I122" s="9"/>
      <c r="J122" s="9"/>
      <c r="K122" s="9"/>
      <c r="L122" s="9"/>
      <c r="M122" s="9"/>
      <c r="N122" s="9"/>
      <c r="O122" s="9"/>
      <c r="P122" s="9"/>
      <c r="Q122" s="9"/>
      <c r="R122" s="9"/>
    </row>
    <row r="123">
      <c r="A123" s="9"/>
      <c r="B123" s="9"/>
      <c r="C123" s="9"/>
      <c r="D123" s="9"/>
      <c r="E123" s="52"/>
      <c r="F123" s="9"/>
      <c r="G123" s="9"/>
      <c r="H123" s="9"/>
      <c r="I123" s="9"/>
      <c r="J123" s="9"/>
      <c r="K123" s="9"/>
      <c r="L123" s="9"/>
      <c r="M123" s="9"/>
      <c r="N123" s="9"/>
      <c r="O123" s="9"/>
      <c r="P123" s="9"/>
      <c r="Q123" s="9"/>
      <c r="R123" s="9"/>
    </row>
    <row r="124">
      <c r="A124" s="9"/>
      <c r="B124" s="9"/>
      <c r="C124" s="9"/>
      <c r="D124" s="9"/>
      <c r="E124" s="52"/>
      <c r="F124" s="9"/>
      <c r="G124" s="9"/>
      <c r="H124" s="9"/>
      <c r="I124" s="9"/>
      <c r="J124" s="9"/>
      <c r="K124" s="9"/>
      <c r="L124" s="9"/>
      <c r="M124" s="9"/>
      <c r="N124" s="9"/>
      <c r="O124" s="9"/>
      <c r="P124" s="9"/>
      <c r="Q124" s="9"/>
      <c r="R124" s="9"/>
    </row>
    <row r="125">
      <c r="A125" s="9"/>
      <c r="B125" s="9"/>
      <c r="C125" s="9"/>
      <c r="D125" s="9"/>
      <c r="E125" s="52"/>
      <c r="F125" s="9"/>
      <c r="G125" s="9"/>
      <c r="H125" s="9"/>
      <c r="I125" s="9"/>
      <c r="J125" s="9"/>
      <c r="K125" s="9"/>
      <c r="L125" s="9"/>
      <c r="M125" s="9"/>
      <c r="N125" s="9"/>
      <c r="O125" s="9"/>
      <c r="P125" s="9"/>
      <c r="Q125" s="9"/>
      <c r="R125" s="9"/>
    </row>
    <row r="126">
      <c r="A126" s="9"/>
      <c r="B126" s="9"/>
      <c r="C126" s="9"/>
      <c r="D126" s="9"/>
      <c r="E126" s="52"/>
      <c r="F126" s="9"/>
      <c r="G126" s="9"/>
      <c r="H126" s="9"/>
      <c r="I126" s="9"/>
      <c r="J126" s="9"/>
      <c r="K126" s="9"/>
      <c r="L126" s="9"/>
      <c r="M126" s="9"/>
      <c r="N126" s="9"/>
      <c r="O126" s="9"/>
      <c r="P126" s="9"/>
      <c r="Q126" s="9"/>
      <c r="R126" s="9"/>
    </row>
    <row r="127">
      <c r="A127" s="9"/>
      <c r="B127" s="9"/>
      <c r="C127" s="9"/>
      <c r="D127" s="9"/>
      <c r="E127" s="52"/>
      <c r="F127" s="9"/>
      <c r="G127" s="9"/>
      <c r="H127" s="9"/>
      <c r="I127" s="9"/>
      <c r="J127" s="9"/>
      <c r="K127" s="9"/>
      <c r="L127" s="9"/>
      <c r="M127" s="9"/>
      <c r="N127" s="9"/>
      <c r="O127" s="9"/>
      <c r="P127" s="9"/>
      <c r="Q127" s="9"/>
      <c r="R127" s="9"/>
    </row>
    <row r="128">
      <c r="A128" s="9"/>
      <c r="B128" s="9"/>
      <c r="C128" s="9"/>
      <c r="D128" s="9"/>
      <c r="E128" s="52"/>
      <c r="F128" s="9"/>
      <c r="G128" s="9"/>
      <c r="H128" s="9"/>
      <c r="I128" s="9"/>
      <c r="J128" s="9"/>
      <c r="K128" s="9"/>
      <c r="L128" s="9"/>
      <c r="M128" s="9"/>
      <c r="N128" s="9"/>
      <c r="O128" s="9"/>
      <c r="P128" s="9"/>
      <c r="Q128" s="9"/>
      <c r="R128" s="9"/>
    </row>
    <row r="129">
      <c r="A129" s="9"/>
      <c r="B129" s="9"/>
      <c r="C129" s="9"/>
      <c r="D129" s="9"/>
      <c r="E129" s="52"/>
      <c r="F129" s="9"/>
      <c r="G129" s="9"/>
      <c r="H129" s="9"/>
      <c r="I129" s="9"/>
      <c r="J129" s="9"/>
      <c r="K129" s="9"/>
      <c r="L129" s="9"/>
      <c r="M129" s="9"/>
      <c r="N129" s="9"/>
      <c r="O129" s="9"/>
      <c r="P129" s="9"/>
      <c r="Q129" s="9"/>
      <c r="R129" s="9"/>
    </row>
    <row r="130">
      <c r="A130" s="9"/>
      <c r="B130" s="9"/>
      <c r="C130" s="9"/>
      <c r="D130" s="9"/>
      <c r="E130" s="52"/>
      <c r="F130" s="9"/>
      <c r="G130" s="9"/>
      <c r="H130" s="9"/>
      <c r="I130" s="9"/>
      <c r="J130" s="9"/>
      <c r="K130" s="9"/>
      <c r="L130" s="9"/>
      <c r="M130" s="9"/>
      <c r="N130" s="9"/>
      <c r="O130" s="9"/>
      <c r="P130" s="9"/>
      <c r="Q130" s="9"/>
      <c r="R130" s="9"/>
    </row>
    <row r="131">
      <c r="A131" s="9"/>
      <c r="B131" s="9"/>
      <c r="C131" s="9"/>
      <c r="D131" s="9"/>
      <c r="E131" s="52"/>
      <c r="F131" s="9"/>
      <c r="G131" s="9"/>
      <c r="H131" s="9"/>
      <c r="I131" s="9"/>
      <c r="J131" s="9"/>
      <c r="K131" s="9"/>
      <c r="L131" s="9"/>
      <c r="M131" s="9"/>
      <c r="N131" s="9"/>
      <c r="O131" s="9"/>
      <c r="P131" s="9"/>
      <c r="Q131" s="9"/>
      <c r="R131" s="9"/>
    </row>
    <row r="132">
      <c r="A132" s="9"/>
      <c r="B132" s="9"/>
      <c r="C132" s="9"/>
      <c r="D132" s="9"/>
      <c r="E132" s="52"/>
      <c r="F132" s="9"/>
      <c r="G132" s="9"/>
      <c r="H132" s="9"/>
      <c r="I132" s="9"/>
      <c r="J132" s="9"/>
      <c r="K132" s="9"/>
      <c r="L132" s="9"/>
      <c r="M132" s="9"/>
      <c r="N132" s="9"/>
      <c r="O132" s="9"/>
      <c r="P132" s="9"/>
      <c r="Q132" s="9"/>
      <c r="R132" s="9"/>
    </row>
    <row r="133">
      <c r="A133" s="9"/>
      <c r="B133" s="9"/>
      <c r="C133" s="9"/>
      <c r="D133" s="9"/>
      <c r="E133" s="52"/>
      <c r="F133" s="9"/>
      <c r="G133" s="9"/>
      <c r="H133" s="9"/>
      <c r="I133" s="9"/>
      <c r="J133" s="9"/>
      <c r="K133" s="9"/>
      <c r="L133" s="9"/>
      <c r="M133" s="9"/>
      <c r="N133" s="9"/>
      <c r="O133" s="9"/>
      <c r="P133" s="9"/>
      <c r="Q133" s="9"/>
      <c r="R133" s="9"/>
    </row>
    <row r="134">
      <c r="A134" s="9"/>
      <c r="B134" s="9"/>
      <c r="C134" s="9"/>
      <c r="D134" s="9"/>
      <c r="E134" s="52"/>
      <c r="F134" s="9"/>
      <c r="G134" s="9"/>
      <c r="H134" s="9"/>
      <c r="I134" s="9"/>
      <c r="J134" s="9"/>
      <c r="K134" s="9"/>
      <c r="L134" s="9"/>
      <c r="M134" s="9"/>
      <c r="N134" s="9"/>
      <c r="O134" s="9"/>
      <c r="P134" s="9"/>
      <c r="Q134" s="9"/>
      <c r="R134" s="9"/>
    </row>
    <row r="135">
      <c r="A135" s="9"/>
      <c r="B135" s="9"/>
      <c r="C135" s="9"/>
      <c r="D135" s="9"/>
      <c r="E135" s="52"/>
      <c r="F135" s="9"/>
      <c r="G135" s="9"/>
      <c r="H135" s="9"/>
      <c r="I135" s="9"/>
      <c r="J135" s="9"/>
      <c r="K135" s="9"/>
      <c r="L135" s="9"/>
      <c r="M135" s="9"/>
      <c r="N135" s="9"/>
      <c r="O135" s="9"/>
      <c r="P135" s="9"/>
      <c r="Q135" s="9"/>
      <c r="R135" s="9"/>
    </row>
    <row r="136">
      <c r="A136" s="9"/>
      <c r="B136" s="9"/>
      <c r="C136" s="9"/>
      <c r="D136" s="9"/>
      <c r="E136" s="52"/>
      <c r="F136" s="9"/>
      <c r="G136" s="9"/>
      <c r="H136" s="9"/>
      <c r="I136" s="9"/>
      <c r="J136" s="9"/>
      <c r="K136" s="9"/>
      <c r="L136" s="9"/>
      <c r="M136" s="9"/>
      <c r="N136" s="9"/>
      <c r="O136" s="9"/>
      <c r="P136" s="9"/>
      <c r="Q136" s="9"/>
      <c r="R136" s="9"/>
    </row>
    <row r="137">
      <c r="A137" s="9"/>
      <c r="B137" s="9"/>
      <c r="C137" s="9"/>
      <c r="D137" s="9"/>
      <c r="E137" s="52"/>
      <c r="F137" s="9"/>
      <c r="G137" s="9"/>
      <c r="H137" s="9"/>
      <c r="I137" s="9"/>
      <c r="J137" s="9"/>
      <c r="K137" s="9"/>
      <c r="L137" s="9"/>
      <c r="M137" s="9"/>
      <c r="N137" s="9"/>
      <c r="O137" s="9"/>
      <c r="P137" s="9"/>
      <c r="Q137" s="9"/>
      <c r="R137" s="9"/>
    </row>
    <row r="138">
      <c r="A138" s="9"/>
      <c r="B138" s="9"/>
      <c r="C138" s="9"/>
      <c r="D138" s="9"/>
      <c r="E138" s="52"/>
      <c r="F138" s="9"/>
      <c r="G138" s="9"/>
      <c r="H138" s="9"/>
      <c r="I138" s="9"/>
      <c r="J138" s="9"/>
      <c r="K138" s="9"/>
      <c r="L138" s="9"/>
      <c r="M138" s="9"/>
      <c r="N138" s="9"/>
      <c r="O138" s="9"/>
      <c r="P138" s="9"/>
      <c r="Q138" s="9"/>
      <c r="R138" s="9"/>
    </row>
    <row r="139">
      <c r="A139" s="9"/>
      <c r="B139" s="9"/>
      <c r="C139" s="9"/>
      <c r="D139" s="9"/>
      <c r="E139" s="52"/>
      <c r="F139" s="9"/>
      <c r="G139" s="9"/>
      <c r="H139" s="9"/>
      <c r="I139" s="9"/>
      <c r="J139" s="9"/>
      <c r="K139" s="9"/>
      <c r="L139" s="9"/>
      <c r="M139" s="9"/>
      <c r="N139" s="9"/>
      <c r="O139" s="9"/>
      <c r="P139" s="9"/>
      <c r="Q139" s="9"/>
      <c r="R139" s="9"/>
    </row>
    <row r="140">
      <c r="A140" s="9"/>
      <c r="B140" s="9"/>
      <c r="C140" s="9"/>
      <c r="D140" s="9"/>
      <c r="E140" s="52"/>
      <c r="F140" s="9"/>
      <c r="G140" s="9"/>
      <c r="H140" s="9"/>
      <c r="I140" s="9"/>
      <c r="J140" s="9"/>
      <c r="K140" s="9"/>
      <c r="L140" s="9"/>
      <c r="M140" s="9"/>
      <c r="N140" s="9"/>
      <c r="O140" s="9"/>
      <c r="P140" s="9"/>
      <c r="Q140" s="9"/>
      <c r="R140" s="9"/>
    </row>
    <row r="141">
      <c r="A141" s="9"/>
      <c r="B141" s="9"/>
      <c r="C141" s="9"/>
      <c r="D141" s="9"/>
      <c r="E141" s="52"/>
      <c r="F141" s="9"/>
      <c r="G141" s="9"/>
      <c r="H141" s="9"/>
      <c r="I141" s="9"/>
      <c r="J141" s="9"/>
      <c r="K141" s="9"/>
      <c r="L141" s="9"/>
      <c r="M141" s="9"/>
      <c r="N141" s="9"/>
      <c r="O141" s="9"/>
      <c r="P141" s="9"/>
      <c r="Q141" s="9"/>
      <c r="R141" s="9"/>
    </row>
    <row r="142">
      <c r="A142" s="9"/>
      <c r="B142" s="9"/>
      <c r="C142" s="9"/>
      <c r="D142" s="9"/>
      <c r="E142" s="52"/>
      <c r="F142" s="9"/>
      <c r="G142" s="9"/>
      <c r="H142" s="9"/>
      <c r="I142" s="9"/>
      <c r="J142" s="9"/>
      <c r="K142" s="9"/>
      <c r="L142" s="9"/>
      <c r="M142" s="9"/>
      <c r="N142" s="9"/>
      <c r="O142" s="9"/>
      <c r="P142" s="9"/>
      <c r="Q142" s="9"/>
      <c r="R142" s="9"/>
    </row>
    <row r="143">
      <c r="A143" s="9"/>
      <c r="B143" s="9"/>
      <c r="C143" s="9"/>
      <c r="D143" s="9"/>
      <c r="E143" s="52"/>
      <c r="F143" s="9"/>
      <c r="G143" s="9"/>
      <c r="H143" s="9"/>
      <c r="I143" s="9"/>
      <c r="J143" s="9"/>
      <c r="K143" s="9"/>
      <c r="L143" s="9"/>
      <c r="M143" s="9"/>
      <c r="N143" s="9"/>
      <c r="O143" s="9"/>
      <c r="P143" s="9"/>
      <c r="Q143" s="9"/>
      <c r="R143" s="9"/>
    </row>
    <row r="144">
      <c r="A144" s="9"/>
      <c r="B144" s="9"/>
      <c r="C144" s="9"/>
      <c r="D144" s="9"/>
      <c r="E144" s="52"/>
      <c r="F144" s="9"/>
      <c r="G144" s="9"/>
      <c r="H144" s="9"/>
      <c r="I144" s="9"/>
      <c r="J144" s="9"/>
      <c r="K144" s="9"/>
      <c r="L144" s="9"/>
      <c r="M144" s="9"/>
      <c r="N144" s="9"/>
      <c r="O144" s="9"/>
      <c r="P144" s="9"/>
      <c r="Q144" s="9"/>
      <c r="R144" s="9"/>
    </row>
    <row r="145">
      <c r="A145" s="9"/>
      <c r="B145" s="9"/>
      <c r="C145" s="9"/>
      <c r="D145" s="9"/>
      <c r="E145" s="52"/>
      <c r="F145" s="9"/>
      <c r="G145" s="9"/>
      <c r="H145" s="9"/>
      <c r="I145" s="9"/>
      <c r="J145" s="9"/>
      <c r="K145" s="9"/>
      <c r="L145" s="9"/>
      <c r="M145" s="9"/>
      <c r="N145" s="9"/>
      <c r="O145" s="9"/>
      <c r="P145" s="9"/>
      <c r="Q145" s="9"/>
      <c r="R145" s="9"/>
    </row>
    <row r="146">
      <c r="A146" s="9"/>
      <c r="B146" s="9"/>
      <c r="C146" s="9"/>
      <c r="D146" s="9"/>
      <c r="E146" s="52"/>
      <c r="F146" s="9"/>
      <c r="G146" s="9"/>
      <c r="H146" s="9"/>
      <c r="I146" s="9"/>
      <c r="J146" s="9"/>
      <c r="K146" s="9"/>
      <c r="L146" s="9"/>
      <c r="M146" s="9"/>
      <c r="N146" s="9"/>
      <c r="O146" s="9"/>
      <c r="P146" s="9"/>
      <c r="Q146" s="9"/>
      <c r="R146" s="9"/>
    </row>
    <row r="147">
      <c r="A147" s="9"/>
      <c r="B147" s="9"/>
      <c r="C147" s="9"/>
      <c r="D147" s="9"/>
      <c r="E147" s="52"/>
      <c r="F147" s="9"/>
      <c r="G147" s="9"/>
      <c r="H147" s="9"/>
      <c r="I147" s="9"/>
      <c r="J147" s="9"/>
      <c r="K147" s="9"/>
      <c r="L147" s="9"/>
      <c r="M147" s="9"/>
      <c r="N147" s="9"/>
      <c r="O147" s="9"/>
      <c r="P147" s="9"/>
      <c r="Q147" s="9"/>
      <c r="R147" s="9"/>
    </row>
    <row r="148">
      <c r="A148" s="9"/>
      <c r="B148" s="9"/>
      <c r="C148" s="9"/>
      <c r="D148" s="9"/>
      <c r="E148" s="52"/>
      <c r="F148" s="9"/>
      <c r="G148" s="9"/>
      <c r="H148" s="9"/>
      <c r="I148" s="9"/>
      <c r="J148" s="9"/>
      <c r="K148" s="9"/>
      <c r="L148" s="9"/>
      <c r="M148" s="9"/>
      <c r="N148" s="9"/>
      <c r="O148" s="9"/>
      <c r="P148" s="9"/>
      <c r="Q148" s="9"/>
      <c r="R148" s="9"/>
    </row>
    <row r="149">
      <c r="A149" s="9"/>
      <c r="B149" s="9"/>
      <c r="C149" s="9"/>
      <c r="D149" s="9"/>
      <c r="E149" s="52"/>
      <c r="F149" s="9"/>
      <c r="G149" s="9"/>
      <c r="H149" s="9"/>
      <c r="I149" s="9"/>
      <c r="J149" s="9"/>
      <c r="K149" s="9"/>
      <c r="L149" s="9"/>
      <c r="M149" s="9"/>
      <c r="N149" s="9"/>
      <c r="O149" s="9"/>
      <c r="P149" s="9"/>
      <c r="Q149" s="9"/>
      <c r="R149" s="9"/>
    </row>
    <row r="150">
      <c r="A150" s="9"/>
      <c r="B150" s="9"/>
      <c r="C150" s="9"/>
      <c r="D150" s="9"/>
      <c r="E150" s="52"/>
      <c r="F150" s="9"/>
      <c r="G150" s="9"/>
      <c r="H150" s="9"/>
      <c r="I150" s="9"/>
      <c r="J150" s="9"/>
      <c r="K150" s="9"/>
      <c r="L150" s="9"/>
      <c r="M150" s="9"/>
      <c r="N150" s="9"/>
      <c r="O150" s="9"/>
      <c r="P150" s="9"/>
      <c r="Q150" s="9"/>
      <c r="R150" s="9"/>
    </row>
    <row r="151">
      <c r="A151" s="9"/>
      <c r="B151" s="9"/>
      <c r="C151" s="9"/>
      <c r="D151" s="9"/>
      <c r="E151" s="52"/>
      <c r="F151" s="9"/>
      <c r="G151" s="9"/>
      <c r="H151" s="9"/>
      <c r="I151" s="9"/>
      <c r="J151" s="9"/>
      <c r="K151" s="9"/>
      <c r="L151" s="9"/>
      <c r="M151" s="9"/>
      <c r="N151" s="9"/>
      <c r="O151" s="9"/>
      <c r="P151" s="9"/>
      <c r="Q151" s="9"/>
      <c r="R151" s="9"/>
    </row>
    <row r="152">
      <c r="A152" s="9"/>
      <c r="B152" s="9"/>
      <c r="C152" s="9"/>
      <c r="D152" s="9"/>
      <c r="E152" s="52"/>
      <c r="F152" s="9"/>
      <c r="G152" s="9"/>
      <c r="H152" s="9"/>
      <c r="I152" s="9"/>
      <c r="J152" s="9"/>
      <c r="K152" s="9"/>
      <c r="L152" s="9"/>
      <c r="M152" s="9"/>
      <c r="N152" s="9"/>
      <c r="O152" s="9"/>
      <c r="P152" s="9"/>
      <c r="Q152" s="9"/>
      <c r="R152" s="9"/>
    </row>
    <row r="153">
      <c r="A153" s="9"/>
      <c r="B153" s="9"/>
      <c r="C153" s="9"/>
      <c r="D153" s="9"/>
      <c r="E153" s="52"/>
      <c r="F153" s="9"/>
      <c r="G153" s="9"/>
      <c r="H153" s="9"/>
      <c r="I153" s="9"/>
      <c r="J153" s="9"/>
      <c r="K153" s="9"/>
      <c r="L153" s="9"/>
      <c r="M153" s="9"/>
      <c r="N153" s="9"/>
      <c r="O153" s="9"/>
      <c r="P153" s="9"/>
      <c r="Q153" s="9"/>
      <c r="R153" s="9"/>
    </row>
    <row r="154">
      <c r="A154" s="9"/>
      <c r="B154" s="9"/>
      <c r="C154" s="9"/>
      <c r="D154" s="9"/>
      <c r="E154" s="52"/>
      <c r="F154" s="9"/>
      <c r="G154" s="9"/>
      <c r="H154" s="9"/>
      <c r="I154" s="9"/>
      <c r="J154" s="9"/>
      <c r="K154" s="9"/>
      <c r="L154" s="9"/>
      <c r="M154" s="9"/>
      <c r="N154" s="9"/>
      <c r="O154" s="9"/>
      <c r="P154" s="9"/>
      <c r="Q154" s="9"/>
      <c r="R154" s="9"/>
    </row>
    <row r="155">
      <c r="A155" s="9"/>
      <c r="B155" s="9"/>
      <c r="C155" s="9"/>
      <c r="D155" s="9"/>
      <c r="E155" s="52"/>
      <c r="F155" s="9"/>
      <c r="G155" s="9"/>
      <c r="H155" s="9"/>
      <c r="I155" s="9"/>
      <c r="J155" s="9"/>
      <c r="K155" s="9"/>
      <c r="L155" s="9"/>
      <c r="M155" s="9"/>
      <c r="N155" s="9"/>
      <c r="O155" s="9"/>
      <c r="P155" s="9"/>
      <c r="Q155" s="9"/>
      <c r="R155" s="9"/>
    </row>
    <row r="156">
      <c r="A156" s="9"/>
      <c r="B156" s="9"/>
      <c r="C156" s="9"/>
      <c r="D156" s="9"/>
      <c r="E156" s="52"/>
      <c r="F156" s="9"/>
      <c r="G156" s="9"/>
      <c r="H156" s="9"/>
      <c r="I156" s="9"/>
      <c r="J156" s="9"/>
      <c r="K156" s="9"/>
      <c r="L156" s="9"/>
      <c r="M156" s="9"/>
      <c r="N156" s="9"/>
      <c r="O156" s="9"/>
      <c r="P156" s="9"/>
      <c r="Q156" s="9"/>
      <c r="R156" s="9"/>
    </row>
    <row r="157">
      <c r="A157" s="9"/>
      <c r="B157" s="9"/>
      <c r="C157" s="9"/>
      <c r="D157" s="9"/>
      <c r="E157" s="52"/>
      <c r="F157" s="9"/>
      <c r="G157" s="9"/>
      <c r="H157" s="9"/>
      <c r="I157" s="9"/>
      <c r="J157" s="9"/>
      <c r="K157" s="9"/>
      <c r="L157" s="9"/>
      <c r="M157" s="9"/>
      <c r="N157" s="9"/>
      <c r="O157" s="9"/>
      <c r="P157" s="9"/>
      <c r="Q157" s="9"/>
      <c r="R157" s="9"/>
    </row>
    <row r="158">
      <c r="A158" s="9"/>
      <c r="B158" s="9"/>
      <c r="C158" s="9"/>
      <c r="D158" s="9"/>
      <c r="E158" s="52"/>
      <c r="F158" s="9"/>
      <c r="G158" s="9"/>
      <c r="H158" s="9"/>
      <c r="I158" s="9"/>
      <c r="J158" s="9"/>
      <c r="K158" s="9"/>
      <c r="L158" s="9"/>
      <c r="M158" s="9"/>
      <c r="N158" s="9"/>
      <c r="O158" s="9"/>
      <c r="P158" s="9"/>
      <c r="Q158" s="9"/>
      <c r="R158" s="9"/>
    </row>
    <row r="159">
      <c r="A159" s="9"/>
      <c r="B159" s="9"/>
      <c r="C159" s="9"/>
      <c r="D159" s="9"/>
      <c r="E159" s="52"/>
      <c r="F159" s="9"/>
      <c r="G159" s="9"/>
      <c r="H159" s="9"/>
      <c r="I159" s="9"/>
      <c r="J159" s="9"/>
      <c r="K159" s="9"/>
      <c r="L159" s="9"/>
      <c r="M159" s="9"/>
      <c r="N159" s="9"/>
      <c r="O159" s="9"/>
      <c r="P159" s="9"/>
      <c r="Q159" s="9"/>
      <c r="R159" s="9"/>
    </row>
    <row r="160">
      <c r="A160" s="9"/>
      <c r="B160" s="9"/>
      <c r="C160" s="9"/>
      <c r="D160" s="9"/>
      <c r="E160" s="52"/>
      <c r="F160" s="9"/>
      <c r="G160" s="9"/>
      <c r="H160" s="9"/>
      <c r="I160" s="9"/>
      <c r="J160" s="9"/>
      <c r="K160" s="9"/>
      <c r="L160" s="9"/>
      <c r="M160" s="9"/>
      <c r="N160" s="9"/>
      <c r="O160" s="9"/>
      <c r="P160" s="9"/>
      <c r="Q160" s="9"/>
      <c r="R160" s="9"/>
    </row>
    <row r="161">
      <c r="A161" s="9"/>
      <c r="B161" s="9"/>
      <c r="C161" s="9"/>
      <c r="D161" s="9"/>
      <c r="E161" s="52"/>
      <c r="F161" s="9"/>
      <c r="G161" s="9"/>
      <c r="H161" s="9"/>
      <c r="I161" s="9"/>
      <c r="J161" s="9"/>
      <c r="K161" s="9"/>
      <c r="L161" s="9"/>
      <c r="M161" s="9"/>
      <c r="N161" s="9"/>
      <c r="O161" s="9"/>
      <c r="P161" s="9"/>
      <c r="Q161" s="9"/>
      <c r="R161" s="9"/>
    </row>
    <row r="162">
      <c r="A162" s="9"/>
      <c r="B162" s="9"/>
      <c r="C162" s="9"/>
      <c r="D162" s="9"/>
      <c r="E162" s="52"/>
      <c r="F162" s="9"/>
      <c r="G162" s="9"/>
      <c r="H162" s="9"/>
      <c r="I162" s="9"/>
      <c r="J162" s="9"/>
      <c r="K162" s="9"/>
      <c r="L162" s="9"/>
      <c r="M162" s="9"/>
      <c r="N162" s="9"/>
      <c r="O162" s="9"/>
      <c r="P162" s="9"/>
      <c r="Q162" s="9"/>
      <c r="R162" s="9"/>
    </row>
    <row r="163">
      <c r="A163" s="9"/>
      <c r="B163" s="9"/>
      <c r="C163" s="9"/>
      <c r="D163" s="9"/>
      <c r="E163" s="52"/>
      <c r="F163" s="9"/>
      <c r="G163" s="9"/>
      <c r="H163" s="9"/>
      <c r="I163" s="9"/>
      <c r="J163" s="9"/>
      <c r="K163" s="9"/>
      <c r="L163" s="9"/>
      <c r="M163" s="9"/>
      <c r="N163" s="9"/>
      <c r="O163" s="9"/>
      <c r="P163" s="9"/>
      <c r="Q163" s="9"/>
      <c r="R163" s="9"/>
    </row>
    <row r="164">
      <c r="E164" s="53"/>
    </row>
    <row r="165">
      <c r="E165" s="53"/>
    </row>
    <row r="166">
      <c r="E166" s="53"/>
    </row>
    <row r="167">
      <c r="E167" s="53"/>
    </row>
    <row r="168">
      <c r="E168" s="53"/>
    </row>
    <row r="169">
      <c r="E169" s="53"/>
    </row>
    <row r="170">
      <c r="E170" s="53"/>
    </row>
    <row r="171">
      <c r="E171" s="53"/>
    </row>
    <row r="172">
      <c r="E172" s="53"/>
    </row>
    <row r="173">
      <c r="E173" s="53"/>
    </row>
    <row r="174">
      <c r="E174" s="53"/>
    </row>
    <row r="175">
      <c r="E175" s="53"/>
    </row>
    <row r="176">
      <c r="E176" s="53"/>
    </row>
    <row r="177">
      <c r="E177" s="53"/>
    </row>
    <row r="178">
      <c r="E178" s="53"/>
    </row>
    <row r="179">
      <c r="E179" s="53"/>
    </row>
    <row r="180">
      <c r="E180" s="53"/>
    </row>
    <row r="181">
      <c r="E181" s="53"/>
    </row>
    <row r="182">
      <c r="E182" s="53"/>
    </row>
    <row r="183">
      <c r="E183" s="53"/>
    </row>
    <row r="184">
      <c r="E184" s="53"/>
    </row>
    <row r="185">
      <c r="E185" s="53"/>
    </row>
    <row r="186">
      <c r="E186" s="53"/>
    </row>
    <row r="187">
      <c r="E187" s="53"/>
    </row>
    <row r="188">
      <c r="E188" s="53"/>
    </row>
    <row r="189">
      <c r="E189" s="53"/>
    </row>
    <row r="190">
      <c r="E190" s="53"/>
    </row>
    <row r="191">
      <c r="E191" s="53"/>
    </row>
    <row r="192">
      <c r="E192" s="53"/>
    </row>
    <row r="193">
      <c r="E193" s="53"/>
    </row>
    <row r="194">
      <c r="E194" s="53"/>
    </row>
    <row r="195">
      <c r="E195" s="53"/>
    </row>
    <row r="196">
      <c r="E196" s="53"/>
    </row>
    <row r="197">
      <c r="E197" s="53"/>
    </row>
    <row r="198">
      <c r="E198" s="53"/>
    </row>
    <row r="199">
      <c r="E199" s="53"/>
    </row>
    <row r="200">
      <c r="E200" s="53"/>
    </row>
    <row r="201">
      <c r="E201" s="53"/>
    </row>
    <row r="202">
      <c r="E202" s="53"/>
    </row>
    <row r="203">
      <c r="E203" s="53"/>
    </row>
    <row r="204">
      <c r="E204" s="53"/>
    </row>
    <row r="205">
      <c r="E205" s="53"/>
    </row>
    <row r="206">
      <c r="E206" s="53"/>
    </row>
    <row r="207">
      <c r="E207" s="53"/>
    </row>
    <row r="208">
      <c r="E208" s="53"/>
    </row>
    <row r="209">
      <c r="E209" s="53"/>
    </row>
    <row r="210">
      <c r="E210" s="53"/>
    </row>
    <row r="211">
      <c r="E211" s="53"/>
    </row>
    <row r="212">
      <c r="E212" s="53"/>
    </row>
    <row r="213">
      <c r="E213" s="53"/>
    </row>
    <row r="214">
      <c r="E214" s="53"/>
    </row>
    <row r="215">
      <c r="E215" s="53"/>
    </row>
    <row r="216">
      <c r="E216" s="53"/>
    </row>
    <row r="217">
      <c r="E217" s="53"/>
    </row>
    <row r="218">
      <c r="E218" s="53"/>
    </row>
    <row r="219">
      <c r="E219" s="53"/>
    </row>
    <row r="220">
      <c r="E220" s="53"/>
    </row>
    <row r="221">
      <c r="E221" s="53"/>
    </row>
    <row r="222">
      <c r="E222" s="53"/>
    </row>
    <row r="223">
      <c r="E223" s="53"/>
    </row>
    <row r="224">
      <c r="E224" s="53"/>
    </row>
    <row r="225">
      <c r="E225" s="53"/>
    </row>
    <row r="226">
      <c r="E226" s="53"/>
    </row>
    <row r="227">
      <c r="E227" s="53"/>
    </row>
    <row r="228">
      <c r="E228" s="53"/>
    </row>
    <row r="229">
      <c r="E229" s="53"/>
    </row>
    <row r="230">
      <c r="E230" s="53"/>
    </row>
    <row r="231">
      <c r="E231" s="53"/>
    </row>
    <row r="232">
      <c r="E232" s="53"/>
    </row>
    <row r="233">
      <c r="E233" s="53"/>
    </row>
    <row r="234">
      <c r="E234" s="53"/>
    </row>
    <row r="235">
      <c r="E235" s="53"/>
    </row>
    <row r="236">
      <c r="E236" s="53"/>
    </row>
    <row r="237">
      <c r="E237" s="53"/>
    </row>
    <row r="238">
      <c r="E238" s="53"/>
    </row>
    <row r="239">
      <c r="E239" s="53"/>
    </row>
    <row r="240">
      <c r="E240" s="53"/>
    </row>
    <row r="241">
      <c r="E241" s="53"/>
    </row>
    <row r="242">
      <c r="E242" s="53"/>
    </row>
    <row r="243">
      <c r="E243" s="53"/>
    </row>
    <row r="244">
      <c r="E244" s="53"/>
    </row>
    <row r="245">
      <c r="E245" s="53"/>
    </row>
    <row r="246">
      <c r="E246" s="53"/>
    </row>
    <row r="247">
      <c r="E247" s="53"/>
    </row>
    <row r="248">
      <c r="E248" s="53"/>
    </row>
    <row r="249">
      <c r="E249" s="53"/>
    </row>
    <row r="250">
      <c r="E250" s="53"/>
    </row>
    <row r="251">
      <c r="E251" s="53"/>
    </row>
    <row r="252">
      <c r="E252" s="53"/>
    </row>
    <row r="253">
      <c r="E253" s="53"/>
    </row>
    <row r="254">
      <c r="E254" s="53"/>
    </row>
    <row r="255">
      <c r="E255" s="53"/>
    </row>
    <row r="256">
      <c r="E256" s="53"/>
    </row>
    <row r="257">
      <c r="E257" s="53"/>
    </row>
    <row r="258">
      <c r="E258" s="53"/>
    </row>
    <row r="259">
      <c r="E259" s="53"/>
    </row>
    <row r="260">
      <c r="E260" s="53"/>
    </row>
    <row r="261">
      <c r="E261" s="53"/>
    </row>
    <row r="262">
      <c r="E262" s="53"/>
    </row>
    <row r="263">
      <c r="E263" s="53"/>
    </row>
    <row r="264">
      <c r="E264" s="53"/>
    </row>
    <row r="265">
      <c r="E265" s="53"/>
    </row>
    <row r="266">
      <c r="E266" s="53"/>
    </row>
    <row r="267">
      <c r="E267" s="53"/>
    </row>
    <row r="268">
      <c r="E268" s="53"/>
    </row>
    <row r="269">
      <c r="E269" s="53"/>
    </row>
    <row r="270">
      <c r="E270" s="53"/>
    </row>
    <row r="271">
      <c r="E271" s="53"/>
    </row>
    <row r="272">
      <c r="E272" s="53"/>
    </row>
    <row r="273">
      <c r="E273" s="53"/>
    </row>
    <row r="274">
      <c r="E274" s="53"/>
    </row>
    <row r="275">
      <c r="E275" s="53"/>
    </row>
    <row r="276">
      <c r="E276" s="53"/>
    </row>
    <row r="277">
      <c r="E277" s="53"/>
    </row>
    <row r="278">
      <c r="E278" s="53"/>
    </row>
    <row r="279">
      <c r="E279" s="53"/>
    </row>
    <row r="280">
      <c r="E280" s="53"/>
    </row>
    <row r="281">
      <c r="E281" s="53"/>
    </row>
    <row r="282">
      <c r="E282" s="53"/>
    </row>
    <row r="283">
      <c r="E283" s="53"/>
    </row>
    <row r="284">
      <c r="E284" s="53"/>
    </row>
    <row r="285">
      <c r="E285" s="53"/>
    </row>
    <row r="286">
      <c r="E286" s="53"/>
    </row>
    <row r="287">
      <c r="E287" s="53"/>
    </row>
    <row r="288">
      <c r="E288" s="53"/>
    </row>
    <row r="289">
      <c r="E289" s="53"/>
    </row>
    <row r="290">
      <c r="E290" s="53"/>
    </row>
    <row r="291">
      <c r="E291" s="53"/>
    </row>
    <row r="292">
      <c r="E292" s="53"/>
    </row>
    <row r="293">
      <c r="E293" s="53"/>
    </row>
    <row r="294">
      <c r="E294" s="53"/>
    </row>
    <row r="295">
      <c r="E295" s="53"/>
    </row>
    <row r="296">
      <c r="E296" s="53"/>
    </row>
    <row r="297">
      <c r="E297" s="53"/>
    </row>
    <row r="298">
      <c r="E298" s="53"/>
    </row>
    <row r="299">
      <c r="E299" s="53"/>
    </row>
    <row r="300">
      <c r="E300" s="53"/>
    </row>
    <row r="301">
      <c r="E301" s="53"/>
    </row>
    <row r="302">
      <c r="E302" s="53"/>
    </row>
    <row r="303">
      <c r="E303" s="53"/>
    </row>
    <row r="304">
      <c r="E304" s="53"/>
    </row>
    <row r="305">
      <c r="E305" s="53"/>
    </row>
    <row r="306">
      <c r="E306" s="53"/>
    </row>
    <row r="307">
      <c r="E307" s="53"/>
    </row>
    <row r="308">
      <c r="E308" s="53"/>
    </row>
    <row r="309">
      <c r="E309" s="53"/>
    </row>
    <row r="310">
      <c r="E310" s="53"/>
    </row>
    <row r="311">
      <c r="E311" s="53"/>
    </row>
    <row r="312">
      <c r="E312" s="53"/>
    </row>
    <row r="313">
      <c r="E313" s="53"/>
    </row>
    <row r="314">
      <c r="E314" s="53"/>
    </row>
    <row r="315">
      <c r="E315" s="53"/>
    </row>
    <row r="316">
      <c r="E316" s="53"/>
    </row>
    <row r="317">
      <c r="E317" s="53"/>
    </row>
    <row r="318">
      <c r="E318" s="53"/>
    </row>
    <row r="319">
      <c r="E319" s="53"/>
    </row>
    <row r="320">
      <c r="E320" s="53"/>
    </row>
    <row r="321">
      <c r="E321" s="53"/>
    </row>
    <row r="322">
      <c r="E322" s="53"/>
    </row>
    <row r="323">
      <c r="E323" s="53"/>
    </row>
    <row r="324">
      <c r="E324" s="53"/>
    </row>
    <row r="325">
      <c r="E325" s="53"/>
    </row>
    <row r="326">
      <c r="E326" s="53"/>
    </row>
    <row r="327">
      <c r="E327" s="53"/>
    </row>
    <row r="328">
      <c r="E328" s="53"/>
    </row>
    <row r="329">
      <c r="E329" s="53"/>
    </row>
    <row r="330">
      <c r="E330" s="53"/>
    </row>
    <row r="331">
      <c r="E331" s="53"/>
    </row>
    <row r="332">
      <c r="E332" s="53"/>
    </row>
    <row r="333">
      <c r="E333" s="53"/>
    </row>
    <row r="334">
      <c r="E334" s="53"/>
    </row>
    <row r="335">
      <c r="E335" s="53"/>
    </row>
    <row r="336">
      <c r="E336" s="53"/>
    </row>
    <row r="337">
      <c r="E337" s="53"/>
    </row>
    <row r="338">
      <c r="E338" s="53"/>
    </row>
    <row r="339">
      <c r="E339" s="53"/>
    </row>
    <row r="340">
      <c r="E340" s="53"/>
    </row>
    <row r="341">
      <c r="E341" s="53"/>
    </row>
    <row r="342">
      <c r="E342" s="53"/>
    </row>
    <row r="343">
      <c r="E343" s="53"/>
    </row>
    <row r="344">
      <c r="E344" s="53"/>
    </row>
    <row r="345">
      <c r="E345" s="53"/>
    </row>
    <row r="346">
      <c r="E346" s="53"/>
    </row>
    <row r="347">
      <c r="E347" s="53"/>
    </row>
    <row r="348">
      <c r="E348" s="53"/>
    </row>
    <row r="349">
      <c r="E349" s="53"/>
    </row>
    <row r="350">
      <c r="E350" s="53"/>
    </row>
    <row r="351">
      <c r="E351" s="53"/>
    </row>
    <row r="352">
      <c r="E352" s="53"/>
    </row>
    <row r="353">
      <c r="E353" s="53"/>
    </row>
    <row r="354">
      <c r="E354" s="53"/>
    </row>
    <row r="355">
      <c r="E355" s="53"/>
    </row>
    <row r="356">
      <c r="E356" s="53"/>
    </row>
    <row r="357">
      <c r="E357" s="53"/>
    </row>
    <row r="358">
      <c r="E358" s="53"/>
    </row>
    <row r="359">
      <c r="E359" s="53"/>
    </row>
    <row r="360">
      <c r="E360" s="53"/>
    </row>
    <row r="361">
      <c r="E361" s="53"/>
    </row>
    <row r="362">
      <c r="E362" s="53"/>
    </row>
    <row r="363">
      <c r="E363" s="53"/>
    </row>
    <row r="364">
      <c r="E364" s="53"/>
    </row>
    <row r="365">
      <c r="E365" s="53"/>
    </row>
    <row r="366">
      <c r="E366" s="53"/>
    </row>
    <row r="367">
      <c r="E367" s="53"/>
    </row>
    <row r="368">
      <c r="E368" s="53"/>
    </row>
    <row r="369">
      <c r="E369" s="53"/>
    </row>
    <row r="370">
      <c r="E370" s="53"/>
    </row>
    <row r="371">
      <c r="E371" s="53"/>
    </row>
    <row r="372">
      <c r="E372" s="53"/>
    </row>
    <row r="373">
      <c r="E373" s="53"/>
    </row>
    <row r="374">
      <c r="E374" s="53"/>
    </row>
    <row r="375">
      <c r="E375" s="53"/>
    </row>
    <row r="376">
      <c r="E376" s="53"/>
    </row>
    <row r="377">
      <c r="E377" s="53"/>
    </row>
    <row r="378">
      <c r="E378" s="53"/>
    </row>
    <row r="379">
      <c r="E379" s="53"/>
    </row>
    <row r="380">
      <c r="E380" s="53"/>
    </row>
    <row r="381">
      <c r="E381" s="53"/>
    </row>
    <row r="382">
      <c r="E382" s="53"/>
    </row>
    <row r="383">
      <c r="E383" s="53"/>
    </row>
    <row r="384">
      <c r="E384" s="53"/>
    </row>
    <row r="385">
      <c r="E385" s="53"/>
    </row>
    <row r="386">
      <c r="E386" s="53"/>
    </row>
    <row r="387">
      <c r="E387" s="53"/>
    </row>
    <row r="388">
      <c r="E388" s="53"/>
    </row>
    <row r="389">
      <c r="E389" s="53"/>
    </row>
    <row r="390">
      <c r="E390" s="53"/>
    </row>
    <row r="391">
      <c r="E391" s="53"/>
    </row>
    <row r="392">
      <c r="E392" s="53"/>
    </row>
    <row r="393">
      <c r="E393" s="53"/>
    </row>
    <row r="394">
      <c r="E394" s="53"/>
    </row>
    <row r="395">
      <c r="E395" s="53"/>
    </row>
    <row r="396">
      <c r="E396" s="53"/>
    </row>
    <row r="397">
      <c r="E397" s="53"/>
    </row>
    <row r="398">
      <c r="E398" s="53"/>
    </row>
    <row r="399">
      <c r="E399" s="53"/>
    </row>
    <row r="400">
      <c r="E400" s="53"/>
    </row>
    <row r="401">
      <c r="E401" s="53"/>
    </row>
    <row r="402">
      <c r="E402" s="53"/>
    </row>
    <row r="403">
      <c r="E403" s="53"/>
    </row>
    <row r="404">
      <c r="E404" s="53"/>
    </row>
    <row r="405">
      <c r="E405" s="53"/>
    </row>
    <row r="406">
      <c r="E406" s="53"/>
    </row>
    <row r="407">
      <c r="E407" s="53"/>
    </row>
    <row r="408">
      <c r="E408" s="53"/>
    </row>
    <row r="409">
      <c r="E409" s="53"/>
    </row>
    <row r="410">
      <c r="E410" s="53"/>
    </row>
    <row r="411">
      <c r="E411" s="53"/>
    </row>
    <row r="412">
      <c r="E412" s="53"/>
    </row>
    <row r="413">
      <c r="E413" s="53"/>
    </row>
    <row r="414">
      <c r="E414" s="53"/>
    </row>
    <row r="415">
      <c r="E415" s="53"/>
    </row>
    <row r="416">
      <c r="E416" s="53"/>
    </row>
    <row r="417">
      <c r="E417" s="53"/>
    </row>
    <row r="418">
      <c r="E418" s="53"/>
    </row>
    <row r="419">
      <c r="E419" s="53"/>
    </row>
    <row r="420">
      <c r="E420" s="53"/>
    </row>
    <row r="421">
      <c r="E421" s="53"/>
    </row>
    <row r="422">
      <c r="E422" s="53"/>
    </row>
    <row r="423">
      <c r="E423" s="53"/>
    </row>
    <row r="424">
      <c r="E424" s="53"/>
    </row>
    <row r="425">
      <c r="E425" s="53"/>
    </row>
    <row r="426">
      <c r="E426" s="53"/>
    </row>
    <row r="427">
      <c r="E427" s="53"/>
    </row>
    <row r="428">
      <c r="E428" s="53"/>
    </row>
    <row r="429">
      <c r="E429" s="53"/>
    </row>
    <row r="430">
      <c r="E430" s="53"/>
    </row>
    <row r="431">
      <c r="E431" s="53"/>
    </row>
    <row r="432">
      <c r="E432" s="53"/>
    </row>
    <row r="433">
      <c r="E433" s="53"/>
    </row>
    <row r="434">
      <c r="E434" s="53"/>
    </row>
    <row r="435">
      <c r="E435" s="53"/>
    </row>
    <row r="436">
      <c r="E436" s="53"/>
    </row>
    <row r="437">
      <c r="E437" s="53"/>
    </row>
    <row r="438">
      <c r="E438" s="53"/>
    </row>
    <row r="439">
      <c r="E439" s="53"/>
    </row>
    <row r="440">
      <c r="E440" s="53"/>
    </row>
    <row r="441">
      <c r="E441" s="53"/>
    </row>
    <row r="442">
      <c r="E442" s="53"/>
    </row>
    <row r="443">
      <c r="E443" s="53"/>
    </row>
    <row r="444">
      <c r="E444" s="53"/>
    </row>
    <row r="445">
      <c r="E445" s="53"/>
    </row>
    <row r="446">
      <c r="E446" s="53"/>
    </row>
    <row r="447">
      <c r="E447" s="53"/>
    </row>
    <row r="448">
      <c r="E448" s="53"/>
    </row>
    <row r="449">
      <c r="E449" s="53"/>
    </row>
    <row r="450">
      <c r="E450" s="53"/>
    </row>
    <row r="451">
      <c r="E451" s="53"/>
    </row>
    <row r="452">
      <c r="E452" s="53"/>
    </row>
    <row r="453">
      <c r="E453" s="53"/>
    </row>
    <row r="454">
      <c r="E454" s="53"/>
    </row>
    <row r="455">
      <c r="E455" s="53"/>
    </row>
    <row r="456">
      <c r="E456" s="53"/>
    </row>
    <row r="457">
      <c r="E457" s="53"/>
    </row>
    <row r="458">
      <c r="E458" s="53"/>
    </row>
    <row r="459">
      <c r="E459" s="53"/>
    </row>
    <row r="460">
      <c r="E460" s="53"/>
    </row>
    <row r="461">
      <c r="E461" s="53"/>
    </row>
    <row r="462">
      <c r="E462" s="53"/>
    </row>
    <row r="463">
      <c r="E463" s="53"/>
    </row>
    <row r="464">
      <c r="E464" s="53"/>
    </row>
    <row r="465">
      <c r="E465" s="53"/>
    </row>
    <row r="466">
      <c r="E466" s="53"/>
    </row>
    <row r="467">
      <c r="E467" s="53"/>
    </row>
    <row r="468">
      <c r="E468" s="53"/>
    </row>
    <row r="469">
      <c r="E469" s="53"/>
    </row>
    <row r="470">
      <c r="E470" s="53"/>
    </row>
    <row r="471">
      <c r="E471" s="53"/>
    </row>
    <row r="472">
      <c r="E472" s="53"/>
    </row>
    <row r="473">
      <c r="E473" s="53"/>
    </row>
    <row r="474">
      <c r="E474" s="53"/>
    </row>
    <row r="475">
      <c r="E475" s="53"/>
    </row>
    <row r="476">
      <c r="E476" s="53"/>
    </row>
    <row r="477">
      <c r="E477" s="53"/>
    </row>
    <row r="478">
      <c r="E478" s="53"/>
    </row>
    <row r="479">
      <c r="E479" s="53"/>
    </row>
    <row r="480">
      <c r="E480" s="53"/>
    </row>
    <row r="481">
      <c r="E481" s="53"/>
    </row>
    <row r="482">
      <c r="E482" s="53"/>
    </row>
    <row r="483">
      <c r="E483" s="53"/>
    </row>
    <row r="484">
      <c r="E484" s="53"/>
    </row>
    <row r="485">
      <c r="E485" s="53"/>
    </row>
    <row r="486">
      <c r="E486" s="53"/>
    </row>
    <row r="487">
      <c r="E487" s="53"/>
    </row>
    <row r="488">
      <c r="E488" s="53"/>
    </row>
    <row r="489">
      <c r="E489" s="53"/>
    </row>
    <row r="490">
      <c r="E490" s="53"/>
    </row>
    <row r="491">
      <c r="E491" s="53"/>
    </row>
    <row r="492">
      <c r="E492" s="53"/>
    </row>
    <row r="493">
      <c r="E493" s="53"/>
    </row>
    <row r="494">
      <c r="E494" s="53"/>
    </row>
    <row r="495">
      <c r="E495" s="53"/>
    </row>
    <row r="496">
      <c r="E496" s="53"/>
    </row>
    <row r="497">
      <c r="E497" s="53"/>
    </row>
    <row r="498">
      <c r="E498" s="53"/>
    </row>
    <row r="499">
      <c r="E499" s="53"/>
    </row>
    <row r="500">
      <c r="E500" s="53"/>
    </row>
    <row r="501">
      <c r="E501" s="53"/>
    </row>
    <row r="502">
      <c r="E502" s="53"/>
    </row>
    <row r="503">
      <c r="E503" s="53"/>
    </row>
    <row r="504">
      <c r="E504" s="53"/>
    </row>
    <row r="505">
      <c r="E505" s="53"/>
    </row>
    <row r="506">
      <c r="E506" s="53"/>
    </row>
    <row r="507">
      <c r="E507" s="53"/>
    </row>
    <row r="508">
      <c r="E508" s="53"/>
    </row>
    <row r="509">
      <c r="E509" s="53"/>
    </row>
    <row r="510">
      <c r="E510" s="53"/>
    </row>
    <row r="511">
      <c r="E511" s="53"/>
    </row>
    <row r="512">
      <c r="E512" s="53"/>
    </row>
    <row r="513">
      <c r="E513" s="53"/>
    </row>
    <row r="514">
      <c r="E514" s="53"/>
    </row>
    <row r="515">
      <c r="E515" s="53"/>
    </row>
    <row r="516">
      <c r="E516" s="53"/>
    </row>
    <row r="517">
      <c r="E517" s="53"/>
    </row>
    <row r="518">
      <c r="E518" s="53"/>
    </row>
    <row r="519">
      <c r="E519" s="53"/>
    </row>
    <row r="520">
      <c r="E520" s="53"/>
    </row>
    <row r="521">
      <c r="E521" s="53"/>
    </row>
    <row r="522">
      <c r="E522" s="53"/>
    </row>
    <row r="523">
      <c r="E523" s="53"/>
    </row>
    <row r="524">
      <c r="E524" s="53"/>
    </row>
    <row r="525">
      <c r="E525" s="53"/>
    </row>
    <row r="526">
      <c r="E526" s="53"/>
    </row>
    <row r="527">
      <c r="E527" s="53"/>
    </row>
    <row r="528">
      <c r="E528" s="53"/>
    </row>
    <row r="529">
      <c r="E529" s="53"/>
    </row>
    <row r="530">
      <c r="E530" s="53"/>
    </row>
    <row r="531">
      <c r="E531" s="53"/>
    </row>
    <row r="532">
      <c r="E532" s="53"/>
    </row>
    <row r="533">
      <c r="E533" s="53"/>
    </row>
    <row r="534">
      <c r="E534" s="53"/>
    </row>
    <row r="535">
      <c r="E535" s="53"/>
    </row>
    <row r="536">
      <c r="E536" s="53"/>
    </row>
    <row r="537">
      <c r="E537" s="53"/>
    </row>
    <row r="538">
      <c r="E538" s="53"/>
    </row>
    <row r="539">
      <c r="E539" s="53"/>
    </row>
    <row r="540">
      <c r="E540" s="53"/>
    </row>
    <row r="541">
      <c r="E541" s="53"/>
    </row>
    <row r="542">
      <c r="E542" s="53"/>
    </row>
    <row r="543">
      <c r="E543" s="53"/>
    </row>
    <row r="544">
      <c r="E544" s="53"/>
    </row>
    <row r="545">
      <c r="E545" s="53"/>
    </row>
    <row r="546">
      <c r="E546" s="53"/>
    </row>
    <row r="547">
      <c r="E547" s="53"/>
    </row>
    <row r="548">
      <c r="E548" s="53"/>
    </row>
    <row r="549">
      <c r="E549" s="53"/>
    </row>
    <row r="550">
      <c r="E550" s="53"/>
    </row>
    <row r="551">
      <c r="E551" s="53"/>
    </row>
    <row r="552">
      <c r="E552" s="53"/>
    </row>
    <row r="553">
      <c r="E553" s="53"/>
    </row>
    <row r="554">
      <c r="E554" s="53"/>
    </row>
    <row r="555">
      <c r="E555" s="53"/>
    </row>
    <row r="556">
      <c r="E556" s="53"/>
    </row>
    <row r="557">
      <c r="E557" s="53"/>
    </row>
    <row r="558">
      <c r="E558" s="53"/>
    </row>
    <row r="559">
      <c r="E559" s="53"/>
    </row>
    <row r="560">
      <c r="E560" s="53"/>
    </row>
    <row r="561">
      <c r="E561" s="53"/>
    </row>
    <row r="562">
      <c r="E562" s="53"/>
    </row>
    <row r="563">
      <c r="E563" s="53"/>
    </row>
    <row r="564">
      <c r="E564" s="53"/>
    </row>
    <row r="565">
      <c r="E565" s="53"/>
    </row>
    <row r="566">
      <c r="E566" s="53"/>
    </row>
    <row r="567">
      <c r="E567" s="53"/>
    </row>
    <row r="568">
      <c r="E568" s="53"/>
    </row>
    <row r="569">
      <c r="E569" s="53"/>
    </row>
    <row r="570">
      <c r="E570" s="53"/>
    </row>
    <row r="571">
      <c r="E571" s="53"/>
    </row>
    <row r="572">
      <c r="E572" s="53"/>
    </row>
    <row r="573">
      <c r="E573" s="53"/>
    </row>
    <row r="574">
      <c r="E574" s="53"/>
    </row>
    <row r="575">
      <c r="E575" s="53"/>
    </row>
    <row r="576">
      <c r="E576" s="53"/>
    </row>
    <row r="577">
      <c r="E577" s="53"/>
    </row>
    <row r="578">
      <c r="E578" s="53"/>
    </row>
    <row r="579">
      <c r="E579" s="53"/>
    </row>
    <row r="580">
      <c r="E580" s="53"/>
    </row>
    <row r="581">
      <c r="E581" s="53"/>
    </row>
    <row r="582">
      <c r="E582" s="53"/>
    </row>
    <row r="583">
      <c r="E583" s="53"/>
    </row>
    <row r="584">
      <c r="E584" s="53"/>
    </row>
    <row r="585">
      <c r="E585" s="53"/>
    </row>
    <row r="586">
      <c r="E586" s="53"/>
    </row>
    <row r="587">
      <c r="E587" s="53"/>
    </row>
    <row r="588">
      <c r="E588" s="53"/>
    </row>
    <row r="589">
      <c r="E589" s="53"/>
    </row>
    <row r="590">
      <c r="E590" s="53"/>
    </row>
    <row r="591">
      <c r="E591" s="53"/>
    </row>
    <row r="592">
      <c r="E592" s="53"/>
    </row>
    <row r="593">
      <c r="E593" s="53"/>
    </row>
    <row r="594">
      <c r="E594" s="53"/>
    </row>
    <row r="595">
      <c r="E595" s="53"/>
    </row>
    <row r="596">
      <c r="E596" s="53"/>
    </row>
    <row r="597">
      <c r="E597" s="53"/>
    </row>
    <row r="598">
      <c r="E598" s="53"/>
    </row>
    <row r="599">
      <c r="E599" s="53"/>
    </row>
    <row r="600">
      <c r="E600" s="53"/>
    </row>
    <row r="601">
      <c r="E601" s="53"/>
    </row>
    <row r="602">
      <c r="E602" s="53"/>
    </row>
    <row r="603">
      <c r="E603" s="53"/>
    </row>
    <row r="604">
      <c r="E604" s="53"/>
    </row>
    <row r="605">
      <c r="E605" s="53"/>
    </row>
    <row r="606">
      <c r="E606" s="53"/>
    </row>
    <row r="607">
      <c r="E607" s="53"/>
    </row>
    <row r="608">
      <c r="E608" s="53"/>
    </row>
    <row r="609">
      <c r="E609" s="53"/>
    </row>
    <row r="610">
      <c r="E610" s="53"/>
    </row>
    <row r="611">
      <c r="E611" s="53"/>
    </row>
    <row r="612">
      <c r="E612" s="53"/>
    </row>
    <row r="613">
      <c r="E613" s="53"/>
    </row>
    <row r="614">
      <c r="E614" s="53"/>
    </row>
    <row r="615">
      <c r="E615" s="53"/>
    </row>
    <row r="616">
      <c r="E616" s="53"/>
    </row>
    <row r="617">
      <c r="E617" s="53"/>
    </row>
    <row r="618">
      <c r="E618" s="53"/>
    </row>
    <row r="619">
      <c r="E619" s="53"/>
    </row>
    <row r="620">
      <c r="E620" s="53"/>
    </row>
    <row r="621">
      <c r="E621" s="53"/>
    </row>
    <row r="622">
      <c r="E622" s="53"/>
    </row>
    <row r="623">
      <c r="E623" s="53"/>
    </row>
    <row r="624">
      <c r="E624" s="53"/>
    </row>
    <row r="625">
      <c r="E625" s="53"/>
    </row>
    <row r="626">
      <c r="E626" s="53"/>
    </row>
    <row r="627">
      <c r="E627" s="53"/>
    </row>
    <row r="628">
      <c r="E628" s="53"/>
    </row>
    <row r="629">
      <c r="E629" s="53"/>
    </row>
    <row r="630">
      <c r="E630" s="53"/>
    </row>
    <row r="631">
      <c r="E631" s="53"/>
    </row>
    <row r="632">
      <c r="E632" s="53"/>
    </row>
    <row r="633">
      <c r="E633" s="53"/>
    </row>
    <row r="634">
      <c r="E634" s="53"/>
    </row>
    <row r="635">
      <c r="E635" s="53"/>
    </row>
    <row r="636">
      <c r="E636" s="53"/>
    </row>
    <row r="637">
      <c r="E637" s="53"/>
    </row>
    <row r="638">
      <c r="E638" s="53"/>
    </row>
    <row r="639">
      <c r="E639" s="53"/>
    </row>
    <row r="640">
      <c r="E640" s="53"/>
    </row>
    <row r="641">
      <c r="E641" s="53"/>
    </row>
    <row r="642">
      <c r="E642" s="53"/>
    </row>
    <row r="643">
      <c r="E643" s="53"/>
    </row>
    <row r="644">
      <c r="E644" s="53"/>
    </row>
    <row r="645">
      <c r="E645" s="53"/>
    </row>
    <row r="646">
      <c r="E646" s="53"/>
    </row>
    <row r="647">
      <c r="E647" s="53"/>
    </row>
    <row r="648">
      <c r="E648" s="53"/>
    </row>
    <row r="649">
      <c r="E649" s="53"/>
    </row>
    <row r="650">
      <c r="E650" s="53"/>
    </row>
    <row r="651">
      <c r="E651" s="53"/>
    </row>
    <row r="652">
      <c r="E652" s="53"/>
    </row>
    <row r="653">
      <c r="E653" s="53"/>
    </row>
    <row r="654">
      <c r="E654" s="53"/>
    </row>
    <row r="655">
      <c r="E655" s="53"/>
    </row>
    <row r="656">
      <c r="E656" s="53"/>
    </row>
    <row r="657">
      <c r="E657" s="53"/>
    </row>
    <row r="658">
      <c r="E658" s="53"/>
    </row>
    <row r="659">
      <c r="E659" s="53"/>
    </row>
    <row r="660">
      <c r="E660" s="53"/>
    </row>
    <row r="661">
      <c r="E661" s="53"/>
    </row>
    <row r="662">
      <c r="E662" s="53"/>
    </row>
    <row r="663">
      <c r="E663" s="53"/>
    </row>
    <row r="664">
      <c r="E664" s="53"/>
    </row>
    <row r="665">
      <c r="E665" s="53"/>
    </row>
    <row r="666">
      <c r="E666" s="53"/>
    </row>
    <row r="667">
      <c r="E667" s="53"/>
    </row>
    <row r="668">
      <c r="E668" s="53"/>
    </row>
    <row r="669">
      <c r="E669" s="53"/>
    </row>
    <row r="670">
      <c r="E670" s="53"/>
    </row>
    <row r="671">
      <c r="E671" s="53"/>
    </row>
    <row r="672">
      <c r="E672" s="53"/>
    </row>
    <row r="673">
      <c r="E673" s="53"/>
    </row>
    <row r="674">
      <c r="E674" s="53"/>
    </row>
    <row r="675">
      <c r="E675" s="53"/>
    </row>
    <row r="676">
      <c r="E676" s="53"/>
    </row>
    <row r="677">
      <c r="E677" s="53"/>
    </row>
    <row r="678">
      <c r="E678" s="53"/>
    </row>
    <row r="679">
      <c r="E679" s="53"/>
    </row>
    <row r="680">
      <c r="E680" s="53"/>
    </row>
    <row r="681">
      <c r="E681" s="53"/>
    </row>
    <row r="682">
      <c r="E682" s="53"/>
    </row>
    <row r="683">
      <c r="E683" s="53"/>
    </row>
    <row r="684">
      <c r="E684" s="53"/>
    </row>
    <row r="685">
      <c r="E685" s="53"/>
    </row>
    <row r="686">
      <c r="E686" s="53"/>
    </row>
    <row r="687">
      <c r="E687" s="53"/>
    </row>
    <row r="688">
      <c r="E688" s="53"/>
    </row>
    <row r="689">
      <c r="E689" s="53"/>
    </row>
    <row r="690">
      <c r="E690" s="53"/>
    </row>
    <row r="691">
      <c r="E691" s="53"/>
    </row>
    <row r="692">
      <c r="E692" s="53"/>
    </row>
    <row r="693">
      <c r="E693" s="53"/>
    </row>
    <row r="694">
      <c r="E694" s="53"/>
    </row>
    <row r="695">
      <c r="E695" s="53"/>
    </row>
    <row r="696">
      <c r="E696" s="53"/>
    </row>
    <row r="697">
      <c r="E697" s="53"/>
    </row>
    <row r="698">
      <c r="E698" s="53"/>
    </row>
    <row r="699">
      <c r="E699" s="53"/>
    </row>
    <row r="700">
      <c r="E700" s="53"/>
    </row>
    <row r="701">
      <c r="E701" s="53"/>
    </row>
    <row r="702">
      <c r="E702" s="53"/>
    </row>
    <row r="703">
      <c r="E703" s="53"/>
    </row>
    <row r="704">
      <c r="E704" s="53"/>
    </row>
    <row r="705">
      <c r="E705" s="53"/>
    </row>
    <row r="706">
      <c r="E706" s="53"/>
    </row>
    <row r="707">
      <c r="E707" s="53"/>
    </row>
    <row r="708">
      <c r="E708" s="53"/>
    </row>
    <row r="709">
      <c r="E709" s="53"/>
    </row>
    <row r="710">
      <c r="E710" s="53"/>
    </row>
    <row r="711">
      <c r="E711" s="53"/>
    </row>
    <row r="712">
      <c r="E712" s="53"/>
    </row>
    <row r="713">
      <c r="E713" s="53"/>
    </row>
    <row r="714">
      <c r="E714" s="53"/>
    </row>
    <row r="715">
      <c r="E715" s="53"/>
    </row>
    <row r="716">
      <c r="E716" s="53"/>
    </row>
    <row r="717">
      <c r="E717" s="53"/>
    </row>
    <row r="718">
      <c r="E718" s="53"/>
    </row>
    <row r="719">
      <c r="E719" s="53"/>
    </row>
    <row r="720">
      <c r="E720" s="53"/>
    </row>
    <row r="721">
      <c r="E721" s="53"/>
    </row>
    <row r="722">
      <c r="E722" s="53"/>
    </row>
    <row r="723">
      <c r="E723" s="53"/>
    </row>
    <row r="724">
      <c r="E724" s="53"/>
    </row>
    <row r="725">
      <c r="E725" s="53"/>
    </row>
    <row r="726">
      <c r="E726" s="53"/>
    </row>
    <row r="727">
      <c r="E727" s="53"/>
    </row>
    <row r="728">
      <c r="E728" s="53"/>
    </row>
    <row r="729">
      <c r="E729" s="53"/>
    </row>
    <row r="730">
      <c r="E730" s="53"/>
    </row>
    <row r="731">
      <c r="E731" s="53"/>
    </row>
    <row r="732">
      <c r="E732" s="53"/>
    </row>
    <row r="733">
      <c r="E733" s="53"/>
    </row>
    <row r="734">
      <c r="E734" s="53"/>
    </row>
    <row r="735">
      <c r="E735" s="53"/>
    </row>
    <row r="736">
      <c r="E736" s="53"/>
    </row>
    <row r="737">
      <c r="E737" s="53"/>
    </row>
    <row r="738">
      <c r="E738" s="53"/>
    </row>
    <row r="739">
      <c r="E739" s="53"/>
    </row>
    <row r="740">
      <c r="E740" s="53"/>
    </row>
    <row r="741">
      <c r="E741" s="53"/>
    </row>
    <row r="742">
      <c r="E742" s="53"/>
    </row>
    <row r="743">
      <c r="E743" s="53"/>
    </row>
    <row r="744">
      <c r="E744" s="53"/>
    </row>
    <row r="745">
      <c r="E745" s="53"/>
    </row>
    <row r="746">
      <c r="E746" s="53"/>
    </row>
    <row r="747">
      <c r="E747" s="53"/>
    </row>
    <row r="748">
      <c r="E748" s="53"/>
    </row>
    <row r="749">
      <c r="E749" s="53"/>
    </row>
    <row r="750">
      <c r="E750" s="53"/>
    </row>
    <row r="751">
      <c r="E751" s="53"/>
    </row>
    <row r="752">
      <c r="E752" s="53"/>
    </row>
    <row r="753">
      <c r="E753" s="53"/>
    </row>
    <row r="754">
      <c r="E754" s="53"/>
    </row>
    <row r="755">
      <c r="E755" s="53"/>
    </row>
    <row r="756">
      <c r="E756" s="53"/>
    </row>
    <row r="757">
      <c r="E757" s="53"/>
    </row>
    <row r="758">
      <c r="E758" s="53"/>
    </row>
    <row r="759">
      <c r="E759" s="53"/>
    </row>
    <row r="760">
      <c r="E760" s="53"/>
    </row>
    <row r="761">
      <c r="E761" s="53"/>
    </row>
    <row r="762">
      <c r="E762" s="53"/>
    </row>
    <row r="763">
      <c r="E763" s="53"/>
    </row>
    <row r="764">
      <c r="E764" s="53"/>
    </row>
    <row r="765">
      <c r="E765" s="53"/>
    </row>
    <row r="766">
      <c r="E766" s="53"/>
    </row>
    <row r="767">
      <c r="E767" s="53"/>
    </row>
    <row r="768">
      <c r="E768" s="53"/>
    </row>
    <row r="769">
      <c r="E769" s="53"/>
    </row>
    <row r="770">
      <c r="E770" s="53"/>
    </row>
    <row r="771">
      <c r="E771" s="53"/>
    </row>
    <row r="772">
      <c r="E772" s="53"/>
    </row>
    <row r="773">
      <c r="E773" s="53"/>
    </row>
    <row r="774">
      <c r="E774" s="53"/>
    </row>
    <row r="775">
      <c r="E775" s="53"/>
    </row>
    <row r="776">
      <c r="E776" s="53"/>
    </row>
    <row r="777">
      <c r="E777" s="53"/>
    </row>
    <row r="778">
      <c r="E778" s="53"/>
    </row>
    <row r="779">
      <c r="E779" s="53"/>
    </row>
    <row r="780">
      <c r="E780" s="53"/>
    </row>
    <row r="781">
      <c r="E781" s="53"/>
    </row>
    <row r="782">
      <c r="E782" s="53"/>
    </row>
    <row r="783">
      <c r="E783" s="53"/>
    </row>
    <row r="784">
      <c r="E784" s="53"/>
    </row>
    <row r="785">
      <c r="E785" s="53"/>
    </row>
    <row r="786">
      <c r="E786" s="53"/>
    </row>
    <row r="787">
      <c r="E787" s="53"/>
    </row>
    <row r="788">
      <c r="E788" s="53"/>
    </row>
    <row r="789">
      <c r="E789" s="53"/>
    </row>
    <row r="790">
      <c r="E790" s="53"/>
    </row>
    <row r="791">
      <c r="E791" s="53"/>
    </row>
    <row r="792">
      <c r="E792" s="53"/>
    </row>
    <row r="793">
      <c r="E793" s="53"/>
    </row>
    <row r="794">
      <c r="E794" s="53"/>
    </row>
    <row r="795">
      <c r="E795" s="53"/>
    </row>
    <row r="796">
      <c r="E796" s="53"/>
    </row>
    <row r="797">
      <c r="E797" s="53"/>
    </row>
    <row r="798">
      <c r="E798" s="53"/>
    </row>
    <row r="799">
      <c r="E799" s="53"/>
    </row>
    <row r="800">
      <c r="E800" s="53"/>
    </row>
    <row r="801">
      <c r="E801" s="53"/>
    </row>
    <row r="802">
      <c r="E802" s="53"/>
    </row>
    <row r="803">
      <c r="E803" s="53"/>
    </row>
    <row r="804">
      <c r="E804" s="53"/>
    </row>
    <row r="805">
      <c r="E805" s="53"/>
    </row>
    <row r="806">
      <c r="E806" s="53"/>
    </row>
    <row r="807">
      <c r="E807" s="53"/>
    </row>
    <row r="808">
      <c r="E808" s="53"/>
    </row>
    <row r="809">
      <c r="E809" s="53"/>
    </row>
    <row r="810">
      <c r="E810" s="53"/>
    </row>
    <row r="811">
      <c r="E811" s="53"/>
    </row>
    <row r="812">
      <c r="E812" s="53"/>
    </row>
    <row r="813">
      <c r="E813" s="53"/>
    </row>
    <row r="814">
      <c r="E814" s="53"/>
    </row>
    <row r="815">
      <c r="E815" s="53"/>
    </row>
    <row r="816">
      <c r="E816" s="53"/>
    </row>
    <row r="817">
      <c r="E817" s="53"/>
    </row>
    <row r="818">
      <c r="E818" s="53"/>
    </row>
    <row r="819">
      <c r="E819" s="53"/>
    </row>
    <row r="820">
      <c r="E820" s="53"/>
    </row>
    <row r="821">
      <c r="E821" s="53"/>
    </row>
    <row r="822">
      <c r="E822" s="53"/>
    </row>
    <row r="823">
      <c r="E823" s="53"/>
    </row>
    <row r="824">
      <c r="E824" s="53"/>
    </row>
    <row r="825">
      <c r="E825" s="53"/>
    </row>
    <row r="826">
      <c r="E826" s="53"/>
    </row>
    <row r="827">
      <c r="E827" s="53"/>
    </row>
    <row r="828">
      <c r="E828" s="53"/>
    </row>
    <row r="829">
      <c r="E829" s="53"/>
    </row>
    <row r="830">
      <c r="E830" s="53"/>
    </row>
    <row r="831">
      <c r="E831" s="53"/>
    </row>
    <row r="832">
      <c r="E832" s="53"/>
    </row>
    <row r="833">
      <c r="E833" s="53"/>
    </row>
    <row r="834">
      <c r="E834" s="53"/>
    </row>
    <row r="835">
      <c r="E835" s="53"/>
    </row>
    <row r="836">
      <c r="E836" s="53"/>
    </row>
    <row r="837">
      <c r="E837" s="53"/>
    </row>
    <row r="838">
      <c r="E838" s="53"/>
    </row>
    <row r="839">
      <c r="E839" s="53"/>
    </row>
    <row r="840">
      <c r="E840" s="53"/>
    </row>
    <row r="841">
      <c r="E841" s="53"/>
    </row>
    <row r="842">
      <c r="E842" s="53"/>
    </row>
    <row r="843">
      <c r="E843" s="53"/>
    </row>
    <row r="844">
      <c r="E844" s="53"/>
    </row>
    <row r="845">
      <c r="E845" s="53"/>
    </row>
    <row r="846">
      <c r="E846" s="53"/>
    </row>
    <row r="847">
      <c r="E847" s="53"/>
    </row>
    <row r="848">
      <c r="E848" s="53"/>
    </row>
    <row r="849">
      <c r="E849" s="53"/>
    </row>
    <row r="850">
      <c r="E850" s="53"/>
    </row>
    <row r="851">
      <c r="E851" s="53"/>
    </row>
    <row r="852">
      <c r="E852" s="53"/>
    </row>
    <row r="853">
      <c r="E853" s="53"/>
    </row>
    <row r="854">
      <c r="E854" s="53"/>
    </row>
    <row r="855">
      <c r="E855" s="53"/>
    </row>
    <row r="856">
      <c r="E856" s="53"/>
    </row>
    <row r="857">
      <c r="E857" s="53"/>
    </row>
    <row r="858">
      <c r="E858" s="53"/>
    </row>
    <row r="859">
      <c r="E859" s="53"/>
    </row>
    <row r="860">
      <c r="E860" s="53"/>
    </row>
    <row r="861">
      <c r="E861" s="53"/>
    </row>
    <row r="862">
      <c r="E862" s="53"/>
    </row>
    <row r="863">
      <c r="E863" s="53"/>
    </row>
    <row r="864">
      <c r="E864" s="53"/>
    </row>
    <row r="865">
      <c r="E865" s="53"/>
    </row>
    <row r="866">
      <c r="E866" s="53"/>
    </row>
    <row r="867">
      <c r="E867" s="53"/>
    </row>
    <row r="868">
      <c r="E868" s="53"/>
    </row>
    <row r="869">
      <c r="E869" s="53"/>
    </row>
    <row r="870">
      <c r="E870" s="53"/>
    </row>
    <row r="871">
      <c r="E871" s="53"/>
    </row>
    <row r="872">
      <c r="E872" s="53"/>
    </row>
    <row r="873">
      <c r="E873" s="53"/>
    </row>
    <row r="874">
      <c r="E874" s="53"/>
    </row>
    <row r="875">
      <c r="E875" s="53"/>
    </row>
    <row r="876">
      <c r="E876" s="53"/>
    </row>
    <row r="877">
      <c r="E877" s="53"/>
    </row>
    <row r="878">
      <c r="E878" s="53"/>
    </row>
    <row r="879">
      <c r="E879" s="53"/>
    </row>
    <row r="880">
      <c r="E880" s="53"/>
    </row>
    <row r="881">
      <c r="E881" s="53"/>
    </row>
    <row r="882">
      <c r="E882" s="53"/>
    </row>
    <row r="883">
      <c r="E883" s="53"/>
    </row>
    <row r="884">
      <c r="E884" s="53"/>
    </row>
    <row r="885">
      <c r="E885" s="53"/>
    </row>
    <row r="886">
      <c r="E886" s="53"/>
    </row>
    <row r="887">
      <c r="E887" s="53"/>
    </row>
    <row r="888">
      <c r="E888" s="53"/>
    </row>
    <row r="889">
      <c r="E889" s="53"/>
    </row>
    <row r="890">
      <c r="E890" s="53"/>
    </row>
    <row r="891">
      <c r="E891" s="53"/>
    </row>
    <row r="892">
      <c r="E892" s="53"/>
    </row>
    <row r="893">
      <c r="E893" s="53"/>
    </row>
    <row r="894">
      <c r="E894" s="53"/>
    </row>
    <row r="895">
      <c r="E895" s="53"/>
    </row>
    <row r="896">
      <c r="E896" s="53"/>
    </row>
    <row r="897">
      <c r="E897" s="53"/>
    </row>
    <row r="898">
      <c r="E898" s="53"/>
    </row>
    <row r="899">
      <c r="E899" s="53"/>
    </row>
    <row r="900">
      <c r="E900" s="53"/>
    </row>
    <row r="901">
      <c r="E901" s="53"/>
    </row>
    <row r="902">
      <c r="E902" s="53"/>
    </row>
    <row r="903">
      <c r="E903" s="53"/>
    </row>
    <row r="904">
      <c r="E904" s="53"/>
    </row>
    <row r="905">
      <c r="E905" s="53"/>
    </row>
    <row r="906">
      <c r="E906" s="53"/>
    </row>
    <row r="907">
      <c r="E907" s="53"/>
    </row>
    <row r="908">
      <c r="E908" s="53"/>
    </row>
    <row r="909">
      <c r="E909" s="53"/>
    </row>
    <row r="910">
      <c r="E910" s="53"/>
    </row>
    <row r="911">
      <c r="E911" s="53"/>
    </row>
    <row r="912">
      <c r="E912" s="53"/>
    </row>
    <row r="913">
      <c r="E913" s="53"/>
    </row>
    <row r="914">
      <c r="E914" s="53"/>
    </row>
    <row r="915">
      <c r="E915" s="53"/>
    </row>
    <row r="916">
      <c r="E916" s="53"/>
    </row>
    <row r="917">
      <c r="E917" s="53"/>
    </row>
    <row r="918">
      <c r="E918" s="53"/>
    </row>
    <row r="919">
      <c r="E919" s="53"/>
    </row>
    <row r="920">
      <c r="E920" s="53"/>
    </row>
    <row r="921">
      <c r="E921" s="53"/>
    </row>
    <row r="922">
      <c r="E922" s="53"/>
    </row>
    <row r="923">
      <c r="E923" s="53"/>
    </row>
    <row r="924">
      <c r="E924" s="53"/>
    </row>
    <row r="925">
      <c r="E925" s="53"/>
    </row>
    <row r="926">
      <c r="E926" s="53"/>
    </row>
    <row r="927">
      <c r="E927" s="53"/>
    </row>
    <row r="928">
      <c r="E928" s="53"/>
    </row>
    <row r="929">
      <c r="E929" s="53"/>
    </row>
    <row r="930">
      <c r="E930" s="53"/>
    </row>
    <row r="931">
      <c r="E931" s="53"/>
    </row>
    <row r="932">
      <c r="E932" s="53"/>
    </row>
    <row r="933">
      <c r="E933" s="53"/>
    </row>
    <row r="934">
      <c r="E934" s="53"/>
    </row>
    <row r="935">
      <c r="E935" s="53"/>
    </row>
    <row r="936">
      <c r="E936" s="53"/>
    </row>
    <row r="937">
      <c r="E937" s="53"/>
    </row>
    <row r="938">
      <c r="E938" s="53"/>
    </row>
    <row r="939">
      <c r="E939" s="53"/>
    </row>
    <row r="940">
      <c r="E940" s="53"/>
    </row>
    <row r="941">
      <c r="E941" s="53"/>
    </row>
    <row r="942">
      <c r="E942" s="53"/>
    </row>
    <row r="943">
      <c r="E943" s="53"/>
    </row>
    <row r="944">
      <c r="E944" s="53"/>
    </row>
    <row r="945">
      <c r="E945" s="53"/>
    </row>
    <row r="946">
      <c r="E946" s="53"/>
    </row>
    <row r="947">
      <c r="E947" s="53"/>
    </row>
    <row r="948">
      <c r="E948" s="53"/>
    </row>
    <row r="949">
      <c r="E949" s="53"/>
    </row>
    <row r="950">
      <c r="E950" s="53"/>
    </row>
    <row r="951">
      <c r="E951" s="53"/>
    </row>
    <row r="952">
      <c r="E952" s="53"/>
    </row>
    <row r="953">
      <c r="E953" s="53"/>
    </row>
    <row r="954">
      <c r="E954" s="53"/>
    </row>
    <row r="955">
      <c r="E955" s="53"/>
    </row>
    <row r="956">
      <c r="E956" s="53"/>
    </row>
    <row r="957">
      <c r="E957" s="53"/>
    </row>
    <row r="958">
      <c r="E958" s="53"/>
    </row>
    <row r="959">
      <c r="E959" s="53"/>
    </row>
    <row r="960">
      <c r="E960" s="53"/>
    </row>
    <row r="961">
      <c r="E961" s="53"/>
    </row>
    <row r="962">
      <c r="E962" s="53"/>
    </row>
    <row r="963">
      <c r="E963" s="53"/>
    </row>
    <row r="964">
      <c r="E964" s="53"/>
    </row>
    <row r="965">
      <c r="E965" s="53"/>
    </row>
    <row r="966">
      <c r="E966" s="53"/>
    </row>
    <row r="967">
      <c r="E967" s="53"/>
    </row>
    <row r="968">
      <c r="E968" s="53"/>
    </row>
    <row r="969">
      <c r="E969" s="53"/>
    </row>
    <row r="970">
      <c r="E970" s="53"/>
    </row>
    <row r="971">
      <c r="E971" s="53"/>
    </row>
    <row r="972">
      <c r="E972" s="53"/>
    </row>
    <row r="973">
      <c r="E973" s="53"/>
    </row>
    <row r="974">
      <c r="E974" s="53"/>
    </row>
    <row r="975">
      <c r="E975" s="53"/>
    </row>
    <row r="976">
      <c r="E976" s="53"/>
    </row>
    <row r="977">
      <c r="E977" s="53"/>
    </row>
    <row r="978">
      <c r="E978" s="53"/>
    </row>
    <row r="979">
      <c r="E979" s="53"/>
    </row>
    <row r="980">
      <c r="E980" s="53"/>
    </row>
    <row r="981">
      <c r="E981" s="53"/>
    </row>
    <row r="982">
      <c r="E982" s="53"/>
    </row>
    <row r="983">
      <c r="E983" s="53"/>
    </row>
    <row r="984">
      <c r="E984" s="53"/>
    </row>
    <row r="985">
      <c r="E985" s="53"/>
    </row>
    <row r="986">
      <c r="E986" s="53"/>
    </row>
    <row r="987">
      <c r="E987" s="53"/>
    </row>
    <row r="988">
      <c r="E988" s="53"/>
    </row>
    <row r="989">
      <c r="E989" s="53"/>
    </row>
    <row r="990">
      <c r="E990" s="53"/>
    </row>
    <row r="991">
      <c r="E991" s="53"/>
    </row>
    <row r="992">
      <c r="E992" s="53"/>
    </row>
    <row r="993">
      <c r="E993" s="53"/>
    </row>
    <row r="994">
      <c r="E994" s="53"/>
    </row>
    <row r="995">
      <c r="E995" s="53"/>
    </row>
    <row r="996">
      <c r="E996" s="53"/>
    </row>
    <row r="997">
      <c r="E997" s="53"/>
    </row>
    <row r="998">
      <c r="E998" s="53"/>
    </row>
    <row r="999">
      <c r="E999" s="53"/>
    </row>
    <row r="1000">
      <c r="E1000" s="53"/>
    </row>
  </sheetData>
  <autoFilter ref="$A$1:$X$65">
    <sortState ref="A1:X65">
      <sortCondition ref="A1:A65"/>
    </sortState>
  </autoFil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9" t="s">
        <v>649</v>
      </c>
      <c r="B1" s="9" t="s">
        <v>4</v>
      </c>
      <c r="C1" s="9"/>
      <c r="D1" s="9"/>
      <c r="E1" s="9"/>
      <c r="F1" s="9"/>
      <c r="G1" s="9"/>
      <c r="H1" s="9"/>
      <c r="I1" s="9"/>
      <c r="J1" s="9"/>
      <c r="K1" s="9"/>
      <c r="L1" s="9"/>
      <c r="M1" s="9"/>
      <c r="N1" s="9"/>
      <c r="O1" s="9"/>
      <c r="P1" s="9"/>
      <c r="Q1" s="9"/>
      <c r="R1" s="9"/>
      <c r="S1" s="9"/>
      <c r="T1" s="9"/>
      <c r="U1" s="9"/>
      <c r="V1" s="9"/>
      <c r="W1" s="9"/>
      <c r="X1" s="9"/>
      <c r="Y1" s="9"/>
      <c r="Z1" s="9"/>
    </row>
    <row r="2">
      <c r="A2" s="9" t="s">
        <v>0</v>
      </c>
      <c r="B2" s="9"/>
      <c r="C2" s="9" t="s">
        <v>21</v>
      </c>
      <c r="D2" s="9" t="s">
        <v>518</v>
      </c>
      <c r="E2" s="9" t="s">
        <v>34</v>
      </c>
      <c r="F2" s="9" t="s">
        <v>513</v>
      </c>
      <c r="G2" s="9" t="s">
        <v>40</v>
      </c>
      <c r="H2" s="9" t="s">
        <v>45</v>
      </c>
      <c r="I2" s="9" t="s">
        <v>543</v>
      </c>
      <c r="J2" s="9" t="s">
        <v>650</v>
      </c>
      <c r="K2" s="9"/>
      <c r="L2" s="9"/>
      <c r="M2" s="9"/>
      <c r="N2" s="9"/>
      <c r="O2" s="9"/>
      <c r="P2" s="9"/>
      <c r="Q2" s="9"/>
      <c r="R2" s="9"/>
      <c r="S2" s="9"/>
      <c r="T2" s="9"/>
      <c r="U2" s="9"/>
      <c r="V2" s="9"/>
      <c r="W2" s="9"/>
      <c r="X2" s="9"/>
      <c r="Y2" s="9"/>
      <c r="Z2" s="9"/>
    </row>
    <row r="3">
      <c r="A3" s="9"/>
      <c r="B3" s="9">
        <v>0.0</v>
      </c>
      <c r="C3" s="9"/>
      <c r="D3" s="9"/>
      <c r="E3" s="9"/>
      <c r="F3" s="9"/>
      <c r="G3" s="9"/>
      <c r="H3" s="9"/>
      <c r="I3" s="9"/>
      <c r="J3" s="9">
        <v>0.0</v>
      </c>
      <c r="K3" s="9"/>
      <c r="L3" s="9"/>
      <c r="M3" s="9"/>
      <c r="N3" s="9"/>
      <c r="O3" s="9"/>
      <c r="P3" s="9"/>
      <c r="Q3" s="9"/>
      <c r="R3" s="9"/>
      <c r="S3" s="9"/>
      <c r="T3" s="9"/>
      <c r="U3" s="9"/>
      <c r="V3" s="9"/>
      <c r="W3" s="9"/>
      <c r="X3" s="9"/>
      <c r="Y3" s="9"/>
      <c r="Z3" s="9"/>
    </row>
    <row r="4">
      <c r="A4" s="54">
        <v>45517.412850162036</v>
      </c>
      <c r="B4" s="9"/>
      <c r="C4" s="9">
        <v>1.0</v>
      </c>
      <c r="D4" s="9"/>
      <c r="E4" s="9"/>
      <c r="F4" s="9"/>
      <c r="G4" s="9"/>
      <c r="H4" s="9"/>
      <c r="I4" s="9"/>
      <c r="J4" s="9">
        <v>1.0</v>
      </c>
      <c r="K4" s="9"/>
      <c r="L4" s="9"/>
      <c r="M4" s="9"/>
      <c r="N4" s="9"/>
      <c r="O4" s="9"/>
      <c r="P4" s="9"/>
      <c r="Q4" s="9"/>
      <c r="R4" s="9"/>
      <c r="S4" s="9"/>
      <c r="T4" s="9"/>
      <c r="U4" s="9"/>
      <c r="V4" s="9"/>
      <c r="W4" s="9"/>
      <c r="X4" s="9"/>
      <c r="Y4" s="9"/>
      <c r="Z4" s="9"/>
    </row>
    <row r="5">
      <c r="A5" s="54">
        <v>45517.4256515625</v>
      </c>
      <c r="B5" s="9"/>
      <c r="C5" s="9">
        <v>1.0</v>
      </c>
      <c r="D5" s="9"/>
      <c r="E5" s="9"/>
      <c r="F5" s="9"/>
      <c r="G5" s="9"/>
      <c r="H5" s="9"/>
      <c r="I5" s="9"/>
      <c r="J5" s="9">
        <v>1.0</v>
      </c>
      <c r="K5" s="9"/>
      <c r="L5" s="9"/>
      <c r="M5" s="9"/>
      <c r="N5" s="9"/>
      <c r="O5" s="9"/>
      <c r="P5" s="9"/>
      <c r="Q5" s="9"/>
      <c r="R5" s="9"/>
      <c r="S5" s="9"/>
      <c r="T5" s="9"/>
      <c r="U5" s="9"/>
      <c r="V5" s="9"/>
      <c r="W5" s="9"/>
      <c r="X5" s="9"/>
      <c r="Y5" s="9"/>
      <c r="Z5" s="9"/>
    </row>
    <row r="6">
      <c r="A6" s="54">
        <v>45517.491526365746</v>
      </c>
      <c r="B6" s="9"/>
      <c r="C6" s="9">
        <v>1.0</v>
      </c>
      <c r="D6" s="9"/>
      <c r="E6" s="9"/>
      <c r="F6" s="9"/>
      <c r="G6" s="9"/>
      <c r="H6" s="9"/>
      <c r="I6" s="9"/>
      <c r="J6" s="9">
        <v>1.0</v>
      </c>
      <c r="K6" s="9"/>
      <c r="L6" s="9"/>
      <c r="M6" s="9"/>
      <c r="N6" s="9"/>
      <c r="O6" s="9"/>
      <c r="P6" s="9"/>
      <c r="Q6" s="9"/>
      <c r="R6" s="9"/>
      <c r="S6" s="9"/>
      <c r="T6" s="9"/>
      <c r="U6" s="9"/>
      <c r="V6" s="9"/>
      <c r="W6" s="9"/>
      <c r="X6" s="9"/>
      <c r="Y6" s="9"/>
      <c r="Z6" s="9"/>
    </row>
    <row r="7">
      <c r="A7" s="54">
        <v>45517.54492594907</v>
      </c>
      <c r="B7" s="9"/>
      <c r="C7" s="9">
        <v>1.0</v>
      </c>
      <c r="D7" s="9"/>
      <c r="E7" s="9"/>
      <c r="F7" s="9"/>
      <c r="G7" s="9"/>
      <c r="H7" s="9"/>
      <c r="I7" s="9"/>
      <c r="J7" s="9">
        <v>1.0</v>
      </c>
      <c r="K7" s="9"/>
      <c r="L7" s="9"/>
      <c r="M7" s="9"/>
      <c r="N7" s="9"/>
      <c r="O7" s="9"/>
      <c r="P7" s="9"/>
      <c r="Q7" s="9"/>
      <c r="R7" s="9"/>
      <c r="S7" s="9"/>
      <c r="T7" s="9"/>
      <c r="U7" s="9"/>
      <c r="V7" s="9"/>
      <c r="W7" s="9"/>
      <c r="X7" s="9"/>
      <c r="Y7" s="9"/>
      <c r="Z7" s="9"/>
    </row>
    <row r="8">
      <c r="A8" s="54">
        <v>45517.54716949074</v>
      </c>
      <c r="B8" s="9"/>
      <c r="C8" s="9">
        <v>1.0</v>
      </c>
      <c r="D8" s="9"/>
      <c r="E8" s="9"/>
      <c r="F8" s="9"/>
      <c r="G8" s="9"/>
      <c r="H8" s="9"/>
      <c r="I8" s="9"/>
      <c r="J8" s="9">
        <v>1.0</v>
      </c>
      <c r="K8" s="9"/>
      <c r="L8" s="9"/>
      <c r="M8" s="9"/>
      <c r="N8" s="9"/>
      <c r="O8" s="9"/>
      <c r="P8" s="9"/>
      <c r="Q8" s="9"/>
      <c r="R8" s="9"/>
      <c r="S8" s="9"/>
      <c r="T8" s="9"/>
      <c r="U8" s="9"/>
      <c r="V8" s="9"/>
      <c r="W8" s="9"/>
      <c r="X8" s="9"/>
      <c r="Y8" s="9"/>
      <c r="Z8" s="9"/>
    </row>
    <row r="9">
      <c r="A9" s="54">
        <v>45517.642820671295</v>
      </c>
      <c r="B9" s="9"/>
      <c r="C9" s="9">
        <v>1.0</v>
      </c>
      <c r="D9" s="9"/>
      <c r="E9" s="9"/>
      <c r="F9" s="9"/>
      <c r="G9" s="9"/>
      <c r="H9" s="9"/>
      <c r="I9" s="9"/>
      <c r="J9" s="9">
        <v>1.0</v>
      </c>
      <c r="K9" s="9"/>
      <c r="L9" s="9"/>
      <c r="M9" s="9"/>
      <c r="N9" s="9"/>
      <c r="O9" s="9"/>
      <c r="P9" s="9"/>
      <c r="Q9" s="9"/>
      <c r="R9" s="9"/>
      <c r="S9" s="9"/>
      <c r="T9" s="9"/>
      <c r="U9" s="9"/>
      <c r="V9" s="9"/>
      <c r="W9" s="9"/>
      <c r="X9" s="9"/>
      <c r="Y9" s="9"/>
      <c r="Z9" s="9"/>
    </row>
    <row r="10">
      <c r="A10" s="54">
        <v>45517.64721131945</v>
      </c>
      <c r="B10" s="9"/>
      <c r="C10" s="9">
        <v>1.0</v>
      </c>
      <c r="D10" s="9"/>
      <c r="E10" s="9"/>
      <c r="F10" s="9"/>
      <c r="G10" s="9"/>
      <c r="H10" s="9"/>
      <c r="I10" s="9"/>
      <c r="J10" s="9">
        <v>1.0</v>
      </c>
      <c r="K10" s="9"/>
      <c r="L10" s="9"/>
      <c r="M10" s="9"/>
      <c r="N10" s="9"/>
      <c r="O10" s="9"/>
      <c r="P10" s="9"/>
      <c r="Q10" s="9"/>
      <c r="R10" s="9"/>
      <c r="S10" s="9"/>
      <c r="T10" s="9"/>
      <c r="U10" s="9"/>
      <c r="V10" s="9"/>
      <c r="W10" s="9"/>
      <c r="X10" s="9"/>
      <c r="Y10" s="9"/>
      <c r="Z10" s="9"/>
    </row>
    <row r="11">
      <c r="A11" s="54">
        <v>45517.67681379629</v>
      </c>
      <c r="B11" s="9"/>
      <c r="C11" s="9">
        <v>1.0</v>
      </c>
      <c r="D11" s="9"/>
      <c r="E11" s="9"/>
      <c r="F11" s="9"/>
      <c r="G11" s="9"/>
      <c r="H11" s="9"/>
      <c r="I11" s="9"/>
      <c r="J11" s="9">
        <v>1.0</v>
      </c>
      <c r="K11" s="9"/>
      <c r="L11" s="9"/>
      <c r="M11" s="9"/>
      <c r="N11" s="9"/>
      <c r="O11" s="9"/>
      <c r="P11" s="9"/>
      <c r="Q11" s="9"/>
      <c r="R11" s="9"/>
      <c r="S11" s="9"/>
      <c r="T11" s="9"/>
      <c r="U11" s="9"/>
      <c r="V11" s="9"/>
      <c r="W11" s="9"/>
      <c r="X11" s="9"/>
      <c r="Y11" s="9"/>
      <c r="Z11" s="9"/>
    </row>
    <row r="12">
      <c r="A12" s="54">
        <v>45518.41920611111</v>
      </c>
      <c r="B12" s="9"/>
      <c r="C12" s="9">
        <v>1.0</v>
      </c>
      <c r="D12" s="9"/>
      <c r="E12" s="9"/>
      <c r="F12" s="9"/>
      <c r="G12" s="9"/>
      <c r="H12" s="9"/>
      <c r="I12" s="9"/>
      <c r="J12" s="9">
        <v>1.0</v>
      </c>
      <c r="K12" s="9"/>
      <c r="L12" s="9"/>
      <c r="M12" s="9"/>
      <c r="N12" s="9"/>
      <c r="O12" s="9"/>
      <c r="P12" s="9"/>
      <c r="Q12" s="9"/>
      <c r="R12" s="9"/>
      <c r="S12" s="9"/>
      <c r="T12" s="9"/>
      <c r="U12" s="9"/>
      <c r="V12" s="9"/>
      <c r="W12" s="9"/>
      <c r="X12" s="9"/>
      <c r="Y12" s="9"/>
      <c r="Z12" s="9"/>
    </row>
    <row r="13">
      <c r="A13" s="54">
        <v>45518.421310335645</v>
      </c>
      <c r="B13" s="9"/>
      <c r="C13" s="9">
        <v>1.0</v>
      </c>
      <c r="D13" s="9"/>
      <c r="E13" s="9"/>
      <c r="F13" s="9"/>
      <c r="G13" s="9"/>
      <c r="H13" s="9"/>
      <c r="I13" s="9"/>
      <c r="J13" s="9">
        <v>1.0</v>
      </c>
      <c r="K13" s="9"/>
      <c r="L13" s="9"/>
      <c r="M13" s="9"/>
      <c r="N13" s="9"/>
      <c r="O13" s="9"/>
      <c r="P13" s="9"/>
      <c r="Q13" s="9"/>
      <c r="R13" s="9"/>
      <c r="S13" s="9"/>
      <c r="T13" s="9"/>
      <c r="U13" s="9"/>
      <c r="V13" s="9"/>
      <c r="W13" s="9"/>
      <c r="X13" s="9"/>
      <c r="Y13" s="9"/>
      <c r="Z13" s="9"/>
    </row>
    <row r="14">
      <c r="A14" s="54">
        <v>45518.42341584491</v>
      </c>
      <c r="B14" s="9"/>
      <c r="C14" s="9">
        <v>1.0</v>
      </c>
      <c r="D14" s="9"/>
      <c r="E14" s="9"/>
      <c r="F14" s="9"/>
      <c r="G14" s="9"/>
      <c r="H14" s="9"/>
      <c r="I14" s="9"/>
      <c r="J14" s="9">
        <v>1.0</v>
      </c>
      <c r="K14" s="9"/>
      <c r="L14" s="9"/>
      <c r="M14" s="9"/>
      <c r="N14" s="9"/>
      <c r="O14" s="9"/>
      <c r="P14" s="9"/>
      <c r="Q14" s="9"/>
      <c r="R14" s="9"/>
      <c r="S14" s="9"/>
      <c r="T14" s="9"/>
      <c r="U14" s="9"/>
      <c r="V14" s="9"/>
      <c r="W14" s="9"/>
      <c r="X14" s="9"/>
      <c r="Y14" s="9"/>
      <c r="Z14" s="9"/>
    </row>
    <row r="15">
      <c r="A15" s="54">
        <v>45519.4039934375</v>
      </c>
      <c r="B15" s="9"/>
      <c r="C15" s="9">
        <v>1.0</v>
      </c>
      <c r="D15" s="9"/>
      <c r="E15" s="9"/>
      <c r="F15" s="9"/>
      <c r="G15" s="9"/>
      <c r="H15" s="9"/>
      <c r="I15" s="9"/>
      <c r="J15" s="9">
        <v>1.0</v>
      </c>
      <c r="K15" s="9"/>
      <c r="L15" s="9"/>
      <c r="M15" s="9"/>
      <c r="N15" s="9"/>
      <c r="O15" s="9"/>
      <c r="P15" s="9"/>
      <c r="Q15" s="9"/>
      <c r="R15" s="9"/>
      <c r="S15" s="9"/>
      <c r="T15" s="9"/>
      <c r="U15" s="9"/>
      <c r="V15" s="9"/>
      <c r="W15" s="9"/>
      <c r="X15" s="9"/>
      <c r="Y15" s="9"/>
      <c r="Z15" s="9"/>
    </row>
    <row r="16">
      <c r="A16" s="54">
        <v>45519.404624560186</v>
      </c>
      <c r="B16" s="9"/>
      <c r="C16" s="9">
        <v>1.0</v>
      </c>
      <c r="D16" s="9"/>
      <c r="E16" s="9"/>
      <c r="F16" s="9"/>
      <c r="G16" s="9"/>
      <c r="H16" s="9"/>
      <c r="I16" s="9"/>
      <c r="J16" s="9">
        <v>1.0</v>
      </c>
      <c r="K16" s="9"/>
      <c r="L16" s="9"/>
      <c r="M16" s="9"/>
      <c r="N16" s="9"/>
      <c r="O16" s="9"/>
      <c r="P16" s="9"/>
      <c r="Q16" s="9"/>
      <c r="R16" s="9"/>
      <c r="S16" s="9"/>
      <c r="T16" s="9"/>
      <c r="U16" s="9"/>
      <c r="V16" s="9"/>
      <c r="W16" s="9"/>
      <c r="X16" s="9"/>
      <c r="Y16" s="9"/>
      <c r="Z16" s="9"/>
    </row>
    <row r="17">
      <c r="A17" s="54">
        <v>45519.52162339121</v>
      </c>
      <c r="B17" s="9"/>
      <c r="C17" s="9">
        <v>1.0</v>
      </c>
      <c r="D17" s="9"/>
      <c r="E17" s="9"/>
      <c r="F17" s="9"/>
      <c r="G17" s="9"/>
      <c r="H17" s="9"/>
      <c r="I17" s="9"/>
      <c r="J17" s="9">
        <v>1.0</v>
      </c>
      <c r="K17" s="9"/>
      <c r="L17" s="9"/>
      <c r="M17" s="9"/>
      <c r="N17" s="9"/>
      <c r="O17" s="9"/>
      <c r="P17" s="9"/>
      <c r="Q17" s="9"/>
      <c r="R17" s="9"/>
      <c r="S17" s="9"/>
      <c r="T17" s="9"/>
      <c r="U17" s="9"/>
      <c r="V17" s="9"/>
      <c r="W17" s="9"/>
      <c r="X17" s="9"/>
      <c r="Y17" s="9"/>
      <c r="Z17" s="9"/>
    </row>
    <row r="18">
      <c r="A18" s="54">
        <v>45520.47175924768</v>
      </c>
      <c r="B18" s="9"/>
      <c r="C18" s="9">
        <v>1.0</v>
      </c>
      <c r="D18" s="9"/>
      <c r="E18" s="9"/>
      <c r="F18" s="9"/>
      <c r="G18" s="9"/>
      <c r="H18" s="9"/>
      <c r="I18" s="9"/>
      <c r="J18" s="9">
        <v>1.0</v>
      </c>
      <c r="K18" s="9"/>
      <c r="L18" s="9"/>
      <c r="M18" s="9"/>
      <c r="N18" s="9"/>
      <c r="O18" s="9"/>
      <c r="P18" s="9"/>
      <c r="Q18" s="9"/>
      <c r="R18" s="9"/>
      <c r="S18" s="9"/>
      <c r="T18" s="9"/>
      <c r="U18" s="9"/>
      <c r="V18" s="9"/>
      <c r="W18" s="9"/>
      <c r="X18" s="9"/>
      <c r="Y18" s="9"/>
      <c r="Z18" s="9"/>
    </row>
    <row r="19">
      <c r="A19" s="54">
        <v>45520.476008541664</v>
      </c>
      <c r="B19" s="9"/>
      <c r="C19" s="9">
        <v>1.0</v>
      </c>
      <c r="D19" s="9"/>
      <c r="E19" s="9"/>
      <c r="F19" s="9"/>
      <c r="G19" s="9"/>
      <c r="H19" s="9"/>
      <c r="I19" s="9"/>
      <c r="J19" s="9">
        <v>1.0</v>
      </c>
      <c r="K19" s="9"/>
      <c r="L19" s="9"/>
      <c r="M19" s="9"/>
      <c r="N19" s="9"/>
      <c r="O19" s="9"/>
      <c r="P19" s="9"/>
      <c r="Q19" s="9"/>
      <c r="R19" s="9"/>
      <c r="S19" s="9"/>
      <c r="T19" s="9"/>
      <c r="U19" s="9"/>
      <c r="V19" s="9"/>
      <c r="W19" s="9"/>
      <c r="X19" s="9"/>
      <c r="Y19" s="9"/>
      <c r="Z19" s="9"/>
    </row>
    <row r="20">
      <c r="A20" s="54">
        <v>45520.59966121528</v>
      </c>
      <c r="B20" s="9"/>
      <c r="C20" s="9">
        <v>1.0</v>
      </c>
      <c r="D20" s="9"/>
      <c r="E20" s="9"/>
      <c r="F20" s="9"/>
      <c r="G20" s="9"/>
      <c r="H20" s="9"/>
      <c r="I20" s="9"/>
      <c r="J20" s="9">
        <v>1.0</v>
      </c>
      <c r="K20" s="9"/>
      <c r="L20" s="9"/>
      <c r="M20" s="9"/>
      <c r="N20" s="9"/>
      <c r="O20" s="9"/>
      <c r="P20" s="9"/>
      <c r="Q20" s="9"/>
      <c r="R20" s="9"/>
      <c r="S20" s="9"/>
      <c r="T20" s="9"/>
      <c r="U20" s="9"/>
      <c r="V20" s="9"/>
      <c r="W20" s="9"/>
      <c r="X20" s="9"/>
      <c r="Y20" s="9"/>
      <c r="Z20" s="9"/>
    </row>
    <row r="21">
      <c r="A21" s="54">
        <v>45522.70736269676</v>
      </c>
      <c r="B21" s="9"/>
      <c r="C21" s="9">
        <v>1.0</v>
      </c>
      <c r="D21" s="9"/>
      <c r="E21" s="9"/>
      <c r="F21" s="9"/>
      <c r="G21" s="9"/>
      <c r="H21" s="9"/>
      <c r="I21" s="9"/>
      <c r="J21" s="9">
        <v>1.0</v>
      </c>
      <c r="K21" s="9"/>
      <c r="L21" s="9"/>
      <c r="M21" s="9"/>
      <c r="N21" s="9"/>
      <c r="O21" s="9"/>
      <c r="P21" s="9"/>
      <c r="Q21" s="9"/>
      <c r="R21" s="9"/>
      <c r="S21" s="9"/>
      <c r="T21" s="9"/>
      <c r="U21" s="9"/>
      <c r="V21" s="9"/>
      <c r="W21" s="9"/>
      <c r="X21" s="9"/>
      <c r="Y21" s="9"/>
      <c r="Z21" s="9"/>
    </row>
    <row r="22">
      <c r="A22" s="54">
        <v>45522.70884777777</v>
      </c>
      <c r="B22" s="9"/>
      <c r="C22" s="9">
        <v>1.0</v>
      </c>
      <c r="D22" s="9"/>
      <c r="E22" s="9"/>
      <c r="F22" s="9"/>
      <c r="G22" s="9"/>
      <c r="H22" s="9"/>
      <c r="I22" s="9"/>
      <c r="J22" s="9">
        <v>1.0</v>
      </c>
      <c r="K22" s="9"/>
      <c r="L22" s="9"/>
      <c r="M22" s="9"/>
      <c r="N22" s="9"/>
      <c r="O22" s="9"/>
      <c r="P22" s="9"/>
      <c r="Q22" s="9"/>
      <c r="R22" s="9"/>
      <c r="S22" s="9"/>
      <c r="T22" s="9"/>
      <c r="U22" s="9"/>
      <c r="V22" s="9"/>
      <c r="W22" s="9"/>
      <c r="X22" s="9"/>
      <c r="Y22" s="9"/>
      <c r="Z22" s="9"/>
    </row>
    <row r="23">
      <c r="A23" s="54">
        <v>45523.35771755787</v>
      </c>
      <c r="B23" s="9"/>
      <c r="C23" s="9">
        <v>1.0</v>
      </c>
      <c r="D23" s="9"/>
      <c r="E23" s="9"/>
      <c r="F23" s="9"/>
      <c r="G23" s="9"/>
      <c r="H23" s="9"/>
      <c r="I23" s="9"/>
      <c r="J23" s="9">
        <v>1.0</v>
      </c>
      <c r="K23" s="9"/>
      <c r="L23" s="9"/>
      <c r="M23" s="9"/>
      <c r="N23" s="9"/>
      <c r="O23" s="9"/>
      <c r="P23" s="9"/>
      <c r="Q23" s="9"/>
      <c r="R23" s="9"/>
      <c r="S23" s="9"/>
      <c r="T23" s="9"/>
      <c r="U23" s="9"/>
      <c r="V23" s="9"/>
      <c r="W23" s="9"/>
      <c r="X23" s="9"/>
      <c r="Y23" s="9"/>
      <c r="Z23" s="9"/>
    </row>
    <row r="24">
      <c r="A24" s="54">
        <v>45523.36733912037</v>
      </c>
      <c r="B24" s="9"/>
      <c r="C24" s="9">
        <v>1.0</v>
      </c>
      <c r="D24" s="9"/>
      <c r="E24" s="9"/>
      <c r="F24" s="9"/>
      <c r="G24" s="9"/>
      <c r="H24" s="9"/>
      <c r="I24" s="9"/>
      <c r="J24" s="9">
        <v>1.0</v>
      </c>
      <c r="K24" s="9"/>
      <c r="L24" s="9"/>
      <c r="M24" s="9"/>
      <c r="N24" s="9"/>
      <c r="O24" s="9"/>
      <c r="P24" s="9"/>
      <c r="Q24" s="9"/>
      <c r="R24" s="9"/>
      <c r="S24" s="9"/>
      <c r="T24" s="9"/>
      <c r="U24" s="9"/>
      <c r="V24" s="9"/>
      <c r="W24" s="9"/>
      <c r="X24" s="9"/>
      <c r="Y24" s="9"/>
      <c r="Z24" s="9"/>
    </row>
    <row r="25">
      <c r="A25" s="54">
        <v>45523.37220266204</v>
      </c>
      <c r="B25" s="9"/>
      <c r="C25" s="9">
        <v>1.0</v>
      </c>
      <c r="D25" s="9"/>
      <c r="E25" s="9"/>
      <c r="F25" s="9"/>
      <c r="G25" s="9"/>
      <c r="H25" s="9"/>
      <c r="I25" s="9"/>
      <c r="J25" s="9">
        <v>1.0</v>
      </c>
      <c r="K25" s="9"/>
      <c r="L25" s="9"/>
      <c r="M25" s="9"/>
      <c r="N25" s="9"/>
      <c r="O25" s="9"/>
      <c r="P25" s="9"/>
      <c r="Q25" s="9"/>
      <c r="R25" s="9"/>
      <c r="S25" s="9"/>
      <c r="T25" s="9"/>
      <c r="U25" s="9"/>
      <c r="V25" s="9"/>
      <c r="W25" s="9"/>
      <c r="X25" s="9"/>
      <c r="Y25" s="9"/>
      <c r="Z25" s="9"/>
    </row>
    <row r="26">
      <c r="A26" s="54">
        <v>45523.3763875463</v>
      </c>
      <c r="B26" s="9"/>
      <c r="C26" s="9">
        <v>1.0</v>
      </c>
      <c r="D26" s="9"/>
      <c r="E26" s="9"/>
      <c r="F26" s="9"/>
      <c r="G26" s="9"/>
      <c r="H26" s="9"/>
      <c r="I26" s="9"/>
      <c r="J26" s="9">
        <v>1.0</v>
      </c>
      <c r="K26" s="9"/>
      <c r="L26" s="9"/>
      <c r="M26" s="9"/>
      <c r="N26" s="9"/>
      <c r="O26" s="9"/>
      <c r="P26" s="9"/>
      <c r="Q26" s="9"/>
      <c r="R26" s="9"/>
      <c r="S26" s="9"/>
      <c r="T26" s="9"/>
      <c r="U26" s="9"/>
      <c r="V26" s="9"/>
      <c r="W26" s="9"/>
      <c r="X26" s="9"/>
      <c r="Y26" s="9"/>
      <c r="Z26" s="9"/>
    </row>
    <row r="27">
      <c r="A27" s="54">
        <v>45523.4336649537</v>
      </c>
      <c r="B27" s="9"/>
      <c r="C27" s="9">
        <v>1.0</v>
      </c>
      <c r="D27" s="9"/>
      <c r="E27" s="9"/>
      <c r="F27" s="9"/>
      <c r="G27" s="9"/>
      <c r="H27" s="9"/>
      <c r="I27" s="9"/>
      <c r="J27" s="9">
        <v>1.0</v>
      </c>
      <c r="K27" s="9"/>
      <c r="L27" s="9"/>
      <c r="M27" s="9"/>
      <c r="N27" s="9"/>
      <c r="O27" s="9"/>
      <c r="P27" s="9"/>
      <c r="Q27" s="9"/>
      <c r="R27" s="9"/>
      <c r="S27" s="9"/>
      <c r="T27" s="9"/>
      <c r="U27" s="9"/>
      <c r="V27" s="9"/>
      <c r="W27" s="9"/>
      <c r="X27" s="9"/>
      <c r="Y27" s="9"/>
      <c r="Z27" s="9"/>
    </row>
    <row r="28">
      <c r="A28" s="54">
        <v>45523.435456921296</v>
      </c>
      <c r="B28" s="9"/>
      <c r="C28" s="9">
        <v>1.0</v>
      </c>
      <c r="D28" s="9"/>
      <c r="E28" s="9"/>
      <c r="F28" s="9"/>
      <c r="G28" s="9"/>
      <c r="H28" s="9"/>
      <c r="I28" s="9"/>
      <c r="J28" s="9">
        <v>1.0</v>
      </c>
      <c r="K28" s="9"/>
      <c r="L28" s="9"/>
      <c r="M28" s="9"/>
      <c r="N28" s="9"/>
      <c r="O28" s="9"/>
      <c r="P28" s="9"/>
      <c r="Q28" s="9"/>
      <c r="R28" s="9"/>
      <c r="S28" s="9"/>
      <c r="T28" s="9"/>
      <c r="U28" s="9"/>
      <c r="V28" s="9"/>
      <c r="W28" s="9"/>
      <c r="X28" s="9"/>
      <c r="Y28" s="9"/>
      <c r="Z28" s="9"/>
    </row>
    <row r="29">
      <c r="A29" s="54">
        <v>45523.44954804398</v>
      </c>
      <c r="B29" s="9"/>
      <c r="C29" s="9">
        <v>1.0</v>
      </c>
      <c r="D29" s="9"/>
      <c r="E29" s="9"/>
      <c r="F29" s="9"/>
      <c r="G29" s="9"/>
      <c r="H29" s="9"/>
      <c r="I29" s="9"/>
      <c r="J29" s="9">
        <v>1.0</v>
      </c>
      <c r="K29" s="9"/>
      <c r="L29" s="9"/>
      <c r="M29" s="9"/>
      <c r="N29" s="9"/>
      <c r="O29" s="9"/>
      <c r="P29" s="9"/>
      <c r="Q29" s="9"/>
      <c r="R29" s="9"/>
      <c r="S29" s="9"/>
      <c r="T29" s="9"/>
      <c r="U29" s="9"/>
      <c r="V29" s="9"/>
      <c r="W29" s="9"/>
      <c r="X29" s="9"/>
      <c r="Y29" s="9"/>
      <c r="Z29" s="9"/>
    </row>
    <row r="30">
      <c r="A30" s="54">
        <v>45523.45097253472</v>
      </c>
      <c r="B30" s="9"/>
      <c r="C30" s="9">
        <v>1.0</v>
      </c>
      <c r="D30" s="9"/>
      <c r="E30" s="9"/>
      <c r="F30" s="9"/>
      <c r="G30" s="9"/>
      <c r="H30" s="9"/>
      <c r="I30" s="9"/>
      <c r="J30" s="9">
        <v>1.0</v>
      </c>
      <c r="K30" s="9"/>
      <c r="L30" s="9"/>
      <c r="M30" s="9"/>
      <c r="N30" s="9"/>
      <c r="O30" s="9"/>
      <c r="P30" s="9"/>
      <c r="Q30" s="9"/>
      <c r="R30" s="9"/>
      <c r="S30" s="9"/>
      <c r="T30" s="9"/>
      <c r="U30" s="9"/>
      <c r="V30" s="9"/>
      <c r="W30" s="9"/>
      <c r="X30" s="9"/>
      <c r="Y30" s="9"/>
      <c r="Z30" s="9"/>
    </row>
    <row r="31">
      <c r="A31" s="54">
        <v>45523.45140167824</v>
      </c>
      <c r="B31" s="9"/>
      <c r="C31" s="9">
        <v>1.0</v>
      </c>
      <c r="D31" s="9"/>
      <c r="E31" s="9"/>
      <c r="F31" s="9"/>
      <c r="G31" s="9"/>
      <c r="H31" s="9"/>
      <c r="I31" s="9"/>
      <c r="J31" s="9">
        <v>1.0</v>
      </c>
      <c r="K31" s="9"/>
      <c r="L31" s="9"/>
      <c r="M31" s="9"/>
      <c r="N31" s="9"/>
      <c r="O31" s="9"/>
      <c r="P31" s="9"/>
      <c r="Q31" s="9"/>
      <c r="R31" s="9"/>
      <c r="S31" s="9"/>
      <c r="T31" s="9"/>
      <c r="U31" s="9"/>
      <c r="V31" s="9"/>
      <c r="W31" s="9"/>
      <c r="X31" s="9"/>
      <c r="Y31" s="9"/>
      <c r="Z31" s="9"/>
    </row>
    <row r="32">
      <c r="A32" s="54">
        <v>45523.49927340278</v>
      </c>
      <c r="B32" s="9"/>
      <c r="C32" s="9">
        <v>1.0</v>
      </c>
      <c r="D32" s="9"/>
      <c r="E32" s="9"/>
      <c r="F32" s="9"/>
      <c r="G32" s="9"/>
      <c r="H32" s="9"/>
      <c r="I32" s="9"/>
      <c r="J32" s="9">
        <v>1.0</v>
      </c>
      <c r="K32" s="9"/>
      <c r="L32" s="9"/>
      <c r="M32" s="9"/>
      <c r="N32" s="9"/>
      <c r="O32" s="9"/>
      <c r="P32" s="9"/>
      <c r="Q32" s="9"/>
      <c r="R32" s="9"/>
      <c r="S32" s="9"/>
      <c r="T32" s="9"/>
      <c r="U32" s="9"/>
      <c r="V32" s="9"/>
      <c r="W32" s="9"/>
      <c r="X32" s="9"/>
      <c r="Y32" s="9"/>
      <c r="Z32" s="9"/>
    </row>
    <row r="33">
      <c r="A33" s="54">
        <v>45523.500738483795</v>
      </c>
      <c r="B33" s="9"/>
      <c r="C33" s="9">
        <v>1.0</v>
      </c>
      <c r="D33" s="9"/>
      <c r="E33" s="9"/>
      <c r="F33" s="9"/>
      <c r="G33" s="9"/>
      <c r="H33" s="9"/>
      <c r="I33" s="9"/>
      <c r="J33" s="9">
        <v>1.0</v>
      </c>
      <c r="K33" s="9"/>
      <c r="L33" s="9"/>
      <c r="M33" s="9"/>
      <c r="N33" s="9"/>
      <c r="O33" s="9"/>
      <c r="P33" s="9"/>
      <c r="Q33" s="9"/>
      <c r="R33" s="9"/>
      <c r="S33" s="9"/>
      <c r="T33" s="9"/>
      <c r="U33" s="9"/>
      <c r="V33" s="9"/>
      <c r="W33" s="9"/>
      <c r="X33" s="9"/>
      <c r="Y33" s="9"/>
      <c r="Z33" s="9"/>
    </row>
    <row r="34">
      <c r="A34" s="54">
        <v>45523.521754456015</v>
      </c>
      <c r="B34" s="9"/>
      <c r="C34" s="9">
        <v>1.0</v>
      </c>
      <c r="D34" s="9"/>
      <c r="E34" s="9"/>
      <c r="F34" s="9"/>
      <c r="G34" s="9"/>
      <c r="H34" s="9"/>
      <c r="I34" s="9"/>
      <c r="J34" s="9">
        <v>1.0</v>
      </c>
      <c r="K34" s="9"/>
      <c r="L34" s="9"/>
      <c r="M34" s="9"/>
      <c r="N34" s="9"/>
      <c r="O34" s="9"/>
      <c r="P34" s="9"/>
      <c r="Q34" s="9"/>
      <c r="R34" s="9"/>
      <c r="S34" s="9"/>
      <c r="T34" s="9"/>
      <c r="U34" s="9"/>
      <c r="V34" s="9"/>
      <c r="W34" s="9"/>
      <c r="X34" s="9"/>
      <c r="Y34" s="9"/>
      <c r="Z34" s="9"/>
    </row>
    <row r="35">
      <c r="A35" s="54">
        <v>45523.56468148148</v>
      </c>
      <c r="B35" s="9"/>
      <c r="C35" s="9">
        <v>1.0</v>
      </c>
      <c r="D35" s="9"/>
      <c r="E35" s="9"/>
      <c r="F35" s="9"/>
      <c r="G35" s="9"/>
      <c r="H35" s="9"/>
      <c r="I35" s="9"/>
      <c r="J35" s="9">
        <v>1.0</v>
      </c>
      <c r="K35" s="9"/>
      <c r="L35" s="9"/>
      <c r="M35" s="9"/>
      <c r="N35" s="9"/>
      <c r="O35" s="9"/>
      <c r="P35" s="9"/>
      <c r="Q35" s="9"/>
      <c r="R35" s="9"/>
      <c r="S35" s="9"/>
      <c r="T35" s="9"/>
      <c r="U35" s="9"/>
      <c r="V35" s="9"/>
      <c r="W35" s="9"/>
      <c r="X35" s="9"/>
      <c r="Y35" s="9"/>
      <c r="Z35" s="9"/>
    </row>
    <row r="36">
      <c r="A36" s="54">
        <v>45523.56906019676</v>
      </c>
      <c r="B36" s="9"/>
      <c r="C36" s="9">
        <v>1.0</v>
      </c>
      <c r="D36" s="9"/>
      <c r="E36" s="9"/>
      <c r="F36" s="9"/>
      <c r="G36" s="9"/>
      <c r="H36" s="9"/>
      <c r="I36" s="9"/>
      <c r="J36" s="9">
        <v>1.0</v>
      </c>
      <c r="K36" s="9"/>
      <c r="L36" s="9"/>
      <c r="M36" s="9"/>
      <c r="N36" s="9"/>
      <c r="O36" s="9"/>
      <c r="P36" s="9"/>
      <c r="Q36" s="9"/>
      <c r="R36" s="9"/>
      <c r="S36" s="9"/>
      <c r="T36" s="9"/>
      <c r="U36" s="9"/>
      <c r="V36" s="9"/>
      <c r="W36" s="9"/>
      <c r="X36" s="9"/>
      <c r="Y36" s="9"/>
      <c r="Z36" s="9"/>
    </row>
    <row r="37">
      <c r="A37" s="54">
        <v>45523.57719776621</v>
      </c>
      <c r="B37" s="9"/>
      <c r="C37" s="9">
        <v>1.0</v>
      </c>
      <c r="D37" s="9"/>
      <c r="E37" s="9"/>
      <c r="F37" s="9"/>
      <c r="G37" s="9"/>
      <c r="H37" s="9"/>
      <c r="I37" s="9"/>
      <c r="J37" s="9">
        <v>1.0</v>
      </c>
      <c r="K37" s="9"/>
      <c r="L37" s="9"/>
      <c r="M37" s="9"/>
      <c r="N37" s="9"/>
      <c r="O37" s="9"/>
      <c r="P37" s="9"/>
      <c r="Q37" s="9"/>
      <c r="R37" s="9"/>
      <c r="S37" s="9"/>
      <c r="T37" s="9"/>
      <c r="U37" s="9"/>
      <c r="V37" s="9"/>
      <c r="W37" s="9"/>
      <c r="X37" s="9"/>
      <c r="Y37" s="9"/>
      <c r="Z37" s="9"/>
    </row>
    <row r="38">
      <c r="A38" s="54">
        <v>45523.61907475695</v>
      </c>
      <c r="B38" s="9"/>
      <c r="C38" s="9">
        <v>1.0</v>
      </c>
      <c r="D38" s="9"/>
      <c r="E38" s="9"/>
      <c r="F38" s="9"/>
      <c r="G38" s="9"/>
      <c r="H38" s="9"/>
      <c r="I38" s="9"/>
      <c r="J38" s="9">
        <v>1.0</v>
      </c>
      <c r="K38" s="9"/>
      <c r="L38" s="9"/>
      <c r="M38" s="9"/>
      <c r="N38" s="9"/>
      <c r="O38" s="9"/>
      <c r="P38" s="9"/>
      <c r="Q38" s="9"/>
      <c r="R38" s="9"/>
      <c r="S38" s="9"/>
      <c r="T38" s="9"/>
      <c r="U38" s="9"/>
      <c r="V38" s="9"/>
      <c r="W38" s="9"/>
      <c r="X38" s="9"/>
      <c r="Y38" s="9"/>
      <c r="Z38" s="9"/>
    </row>
    <row r="39">
      <c r="A39" s="54">
        <v>45523.623647546294</v>
      </c>
      <c r="B39" s="9"/>
      <c r="C39" s="9">
        <v>1.0</v>
      </c>
      <c r="D39" s="9"/>
      <c r="E39" s="9"/>
      <c r="F39" s="9"/>
      <c r="G39" s="9"/>
      <c r="H39" s="9"/>
      <c r="I39" s="9"/>
      <c r="J39" s="9">
        <v>1.0</v>
      </c>
      <c r="K39" s="9"/>
      <c r="L39" s="9"/>
      <c r="M39" s="9"/>
      <c r="N39" s="9"/>
      <c r="O39" s="9"/>
      <c r="P39" s="9"/>
      <c r="Q39" s="9"/>
      <c r="R39" s="9"/>
      <c r="S39" s="9"/>
      <c r="T39" s="9"/>
      <c r="U39" s="9"/>
      <c r="V39" s="9"/>
      <c r="W39" s="9"/>
      <c r="X39" s="9"/>
      <c r="Y39" s="9"/>
      <c r="Z39" s="9"/>
    </row>
    <row r="40">
      <c r="A40" s="54">
        <v>45523.62751261574</v>
      </c>
      <c r="B40" s="9"/>
      <c r="C40" s="9">
        <v>1.0</v>
      </c>
      <c r="D40" s="9"/>
      <c r="E40" s="9"/>
      <c r="F40" s="9"/>
      <c r="G40" s="9"/>
      <c r="H40" s="9"/>
      <c r="I40" s="9"/>
      <c r="J40" s="9">
        <v>1.0</v>
      </c>
      <c r="K40" s="9"/>
      <c r="L40" s="9"/>
      <c r="M40" s="9"/>
      <c r="N40" s="9"/>
      <c r="O40" s="9"/>
      <c r="P40" s="9"/>
      <c r="Q40" s="9"/>
      <c r="R40" s="9"/>
      <c r="S40" s="9"/>
      <c r="T40" s="9"/>
      <c r="U40" s="9"/>
      <c r="V40" s="9"/>
      <c r="W40" s="9"/>
      <c r="X40" s="9"/>
      <c r="Y40" s="9"/>
      <c r="Z40" s="9"/>
    </row>
    <row r="41">
      <c r="A41" s="54">
        <v>45523.62989140046</v>
      </c>
      <c r="B41" s="9"/>
      <c r="C41" s="9">
        <v>1.0</v>
      </c>
      <c r="D41" s="9"/>
      <c r="E41" s="9"/>
      <c r="F41" s="9"/>
      <c r="G41" s="9"/>
      <c r="H41" s="9"/>
      <c r="I41" s="9"/>
      <c r="J41" s="9">
        <v>1.0</v>
      </c>
      <c r="K41" s="9"/>
      <c r="L41" s="9"/>
      <c r="M41" s="9"/>
      <c r="N41" s="9"/>
      <c r="O41" s="9"/>
      <c r="P41" s="9"/>
      <c r="Q41" s="9"/>
      <c r="R41" s="9"/>
      <c r="S41" s="9"/>
      <c r="T41" s="9"/>
      <c r="U41" s="9"/>
      <c r="V41" s="9"/>
      <c r="W41" s="9"/>
      <c r="X41" s="9"/>
      <c r="Y41" s="9"/>
      <c r="Z41" s="9"/>
    </row>
    <row r="42">
      <c r="A42" s="54">
        <v>45523.63123759259</v>
      </c>
      <c r="B42" s="9"/>
      <c r="C42" s="9">
        <v>1.0</v>
      </c>
      <c r="D42" s="9"/>
      <c r="E42" s="9"/>
      <c r="F42" s="9"/>
      <c r="G42" s="9"/>
      <c r="H42" s="9"/>
      <c r="I42" s="9"/>
      <c r="J42" s="9">
        <v>1.0</v>
      </c>
      <c r="K42" s="9"/>
      <c r="L42" s="9"/>
      <c r="M42" s="9"/>
      <c r="N42" s="9"/>
      <c r="O42" s="9"/>
      <c r="P42" s="9"/>
      <c r="Q42" s="9"/>
      <c r="R42" s="9"/>
      <c r="S42" s="9"/>
      <c r="T42" s="9"/>
      <c r="U42" s="9"/>
      <c r="V42" s="9"/>
      <c r="W42" s="9"/>
      <c r="X42" s="9"/>
      <c r="Y42" s="9"/>
      <c r="Z42" s="9"/>
    </row>
    <row r="43">
      <c r="A43" s="54">
        <v>45523.638198518514</v>
      </c>
      <c r="B43" s="9"/>
      <c r="C43" s="9">
        <v>1.0</v>
      </c>
      <c r="D43" s="9"/>
      <c r="E43" s="9"/>
      <c r="F43" s="9"/>
      <c r="G43" s="9"/>
      <c r="H43" s="9"/>
      <c r="I43" s="9"/>
      <c r="J43" s="9">
        <v>1.0</v>
      </c>
      <c r="K43" s="9"/>
      <c r="L43" s="9"/>
      <c r="M43" s="9"/>
      <c r="N43" s="9"/>
      <c r="O43" s="9"/>
      <c r="P43" s="9"/>
      <c r="Q43" s="9"/>
      <c r="R43" s="9"/>
      <c r="S43" s="9"/>
      <c r="T43" s="9"/>
      <c r="U43" s="9"/>
      <c r="V43" s="9"/>
      <c r="W43" s="9"/>
      <c r="X43" s="9"/>
      <c r="Y43" s="9"/>
      <c r="Z43" s="9"/>
    </row>
    <row r="44">
      <c r="A44" s="54">
        <v>45523.66055905093</v>
      </c>
      <c r="B44" s="9"/>
      <c r="C44" s="9">
        <v>1.0</v>
      </c>
      <c r="D44" s="9"/>
      <c r="E44" s="9"/>
      <c r="F44" s="9"/>
      <c r="G44" s="9"/>
      <c r="H44" s="9"/>
      <c r="I44" s="9"/>
      <c r="J44" s="9">
        <v>1.0</v>
      </c>
      <c r="K44" s="9"/>
      <c r="L44" s="9"/>
      <c r="M44" s="9"/>
      <c r="N44" s="9"/>
      <c r="O44" s="9"/>
      <c r="P44" s="9"/>
      <c r="Q44" s="9"/>
      <c r="R44" s="9"/>
      <c r="S44" s="9"/>
      <c r="T44" s="9"/>
      <c r="U44" s="9"/>
      <c r="V44" s="9"/>
      <c r="W44" s="9"/>
      <c r="X44" s="9"/>
      <c r="Y44" s="9"/>
      <c r="Z44" s="9"/>
    </row>
    <row r="45">
      <c r="A45" s="54">
        <v>45523.680410243054</v>
      </c>
      <c r="B45" s="9"/>
      <c r="C45" s="9">
        <v>1.0</v>
      </c>
      <c r="D45" s="9"/>
      <c r="E45" s="9"/>
      <c r="F45" s="9"/>
      <c r="G45" s="9"/>
      <c r="H45" s="9"/>
      <c r="I45" s="9"/>
      <c r="J45" s="9">
        <v>1.0</v>
      </c>
      <c r="K45" s="9"/>
      <c r="L45" s="9"/>
      <c r="M45" s="9"/>
      <c r="N45" s="9"/>
      <c r="O45" s="9"/>
      <c r="P45" s="9"/>
      <c r="Q45" s="9"/>
      <c r="R45" s="9"/>
      <c r="S45" s="9"/>
      <c r="T45" s="9"/>
      <c r="U45" s="9"/>
      <c r="V45" s="9"/>
      <c r="W45" s="9"/>
      <c r="X45" s="9"/>
      <c r="Y45" s="9"/>
      <c r="Z45" s="9"/>
    </row>
    <row r="46">
      <c r="A46" s="54">
        <v>45523.752142384255</v>
      </c>
      <c r="B46" s="9"/>
      <c r="C46" s="9">
        <v>1.0</v>
      </c>
      <c r="D46" s="9"/>
      <c r="E46" s="9"/>
      <c r="F46" s="9"/>
      <c r="G46" s="9"/>
      <c r="H46" s="9"/>
      <c r="I46" s="9"/>
      <c r="J46" s="9">
        <v>1.0</v>
      </c>
      <c r="K46" s="9"/>
      <c r="L46" s="9"/>
      <c r="M46" s="9"/>
      <c r="N46" s="9"/>
      <c r="O46" s="9"/>
      <c r="P46" s="9"/>
      <c r="Q46" s="9"/>
      <c r="R46" s="9"/>
      <c r="S46" s="9"/>
      <c r="T46" s="9"/>
      <c r="U46" s="9"/>
      <c r="V46" s="9"/>
      <c r="W46" s="9"/>
      <c r="X46" s="9"/>
      <c r="Y46" s="9"/>
      <c r="Z46" s="9"/>
    </row>
    <row r="47">
      <c r="A47" s="54">
        <v>45523.80259954861</v>
      </c>
      <c r="B47" s="9"/>
      <c r="C47" s="9">
        <v>1.0</v>
      </c>
      <c r="D47" s="9"/>
      <c r="E47" s="9"/>
      <c r="F47" s="9"/>
      <c r="G47" s="9"/>
      <c r="H47" s="9"/>
      <c r="I47" s="9"/>
      <c r="J47" s="9">
        <v>1.0</v>
      </c>
      <c r="K47" s="9"/>
      <c r="L47" s="9"/>
      <c r="M47" s="9"/>
      <c r="N47" s="9"/>
      <c r="O47" s="9"/>
      <c r="P47" s="9"/>
      <c r="Q47" s="9"/>
      <c r="R47" s="9"/>
      <c r="S47" s="9"/>
      <c r="T47" s="9"/>
      <c r="U47" s="9"/>
      <c r="V47" s="9"/>
      <c r="W47" s="9"/>
      <c r="X47" s="9"/>
      <c r="Y47" s="9"/>
      <c r="Z47" s="9"/>
    </row>
    <row r="48">
      <c r="A48" s="54">
        <v>45523.80397143518</v>
      </c>
      <c r="B48" s="9"/>
      <c r="C48" s="9">
        <v>1.0</v>
      </c>
      <c r="D48" s="9"/>
      <c r="E48" s="9"/>
      <c r="F48" s="9"/>
      <c r="G48" s="9"/>
      <c r="H48" s="9"/>
      <c r="I48" s="9"/>
      <c r="J48" s="9">
        <v>1.0</v>
      </c>
      <c r="K48" s="9"/>
      <c r="L48" s="9"/>
      <c r="M48" s="9"/>
      <c r="N48" s="9"/>
      <c r="O48" s="9"/>
      <c r="P48" s="9"/>
      <c r="Q48" s="9"/>
      <c r="R48" s="9"/>
      <c r="S48" s="9"/>
      <c r="T48" s="9"/>
      <c r="U48" s="9"/>
      <c r="V48" s="9"/>
      <c r="W48" s="9"/>
      <c r="X48" s="9"/>
      <c r="Y48" s="9"/>
      <c r="Z48" s="9"/>
    </row>
    <row r="49">
      <c r="A49" s="54">
        <v>45524.112192245375</v>
      </c>
      <c r="B49" s="9"/>
      <c r="C49" s="9">
        <v>1.0</v>
      </c>
      <c r="D49" s="9"/>
      <c r="E49" s="9"/>
      <c r="F49" s="9"/>
      <c r="G49" s="9"/>
      <c r="H49" s="9"/>
      <c r="I49" s="9"/>
      <c r="J49" s="9">
        <v>1.0</v>
      </c>
      <c r="K49" s="9"/>
      <c r="L49" s="9"/>
      <c r="M49" s="9"/>
      <c r="N49" s="9"/>
      <c r="O49" s="9"/>
      <c r="P49" s="9"/>
      <c r="Q49" s="9"/>
      <c r="R49" s="9"/>
      <c r="S49" s="9"/>
      <c r="T49" s="9"/>
      <c r="U49" s="9"/>
      <c r="V49" s="9"/>
      <c r="W49" s="9"/>
      <c r="X49" s="9"/>
      <c r="Y49" s="9"/>
      <c r="Z49" s="9"/>
    </row>
    <row r="50">
      <c r="A50" s="54">
        <v>45524.11460137731</v>
      </c>
      <c r="B50" s="9"/>
      <c r="C50" s="9">
        <v>1.0</v>
      </c>
      <c r="D50" s="9"/>
      <c r="E50" s="9"/>
      <c r="F50" s="9"/>
      <c r="G50" s="9"/>
      <c r="H50" s="9"/>
      <c r="I50" s="9"/>
      <c r="J50" s="9">
        <v>1.0</v>
      </c>
      <c r="K50" s="9"/>
      <c r="L50" s="9"/>
      <c r="M50" s="9"/>
      <c r="N50" s="9"/>
      <c r="O50" s="9"/>
      <c r="P50" s="9"/>
      <c r="Q50" s="9"/>
      <c r="R50" s="9"/>
      <c r="S50" s="9"/>
      <c r="T50" s="9"/>
      <c r="U50" s="9"/>
      <c r="V50" s="9"/>
      <c r="W50" s="9"/>
      <c r="X50" s="9"/>
      <c r="Y50" s="9"/>
      <c r="Z50" s="9"/>
    </row>
    <row r="51">
      <c r="A51" s="54">
        <v>45524.32614967592</v>
      </c>
      <c r="B51" s="9"/>
      <c r="C51" s="9">
        <v>1.0</v>
      </c>
      <c r="D51" s="9"/>
      <c r="E51" s="9"/>
      <c r="F51" s="9"/>
      <c r="G51" s="9"/>
      <c r="H51" s="9"/>
      <c r="I51" s="9"/>
      <c r="J51" s="9">
        <v>1.0</v>
      </c>
      <c r="K51" s="9"/>
      <c r="L51" s="9"/>
      <c r="M51" s="9"/>
      <c r="N51" s="9"/>
      <c r="O51" s="9"/>
      <c r="P51" s="9"/>
      <c r="Q51" s="9"/>
      <c r="R51" s="9"/>
      <c r="S51" s="9"/>
      <c r="T51" s="9"/>
      <c r="U51" s="9"/>
      <c r="V51" s="9"/>
      <c r="W51" s="9"/>
      <c r="X51" s="9"/>
      <c r="Y51" s="9"/>
      <c r="Z51" s="9"/>
    </row>
    <row r="52">
      <c r="A52" s="54">
        <v>45524.41679328703</v>
      </c>
      <c r="B52" s="9"/>
      <c r="C52" s="9">
        <v>1.0</v>
      </c>
      <c r="D52" s="9"/>
      <c r="E52" s="9"/>
      <c r="F52" s="9"/>
      <c r="G52" s="9"/>
      <c r="H52" s="9"/>
      <c r="I52" s="9"/>
      <c r="J52" s="9">
        <v>1.0</v>
      </c>
      <c r="K52" s="9"/>
      <c r="L52" s="9"/>
      <c r="M52" s="9"/>
      <c r="N52" s="9"/>
      <c r="O52" s="9"/>
      <c r="P52" s="9"/>
      <c r="Q52" s="9"/>
      <c r="R52" s="9"/>
      <c r="S52" s="9"/>
      <c r="T52" s="9"/>
      <c r="U52" s="9"/>
      <c r="V52" s="9"/>
      <c r="W52" s="9"/>
      <c r="X52" s="9"/>
      <c r="Y52" s="9"/>
      <c r="Z52" s="9"/>
    </row>
    <row r="53">
      <c r="A53" s="54">
        <v>45525.38251462963</v>
      </c>
      <c r="B53" s="9"/>
      <c r="C53" s="9">
        <v>1.0</v>
      </c>
      <c r="D53" s="9"/>
      <c r="E53" s="9"/>
      <c r="F53" s="9"/>
      <c r="G53" s="9"/>
      <c r="H53" s="9"/>
      <c r="I53" s="9"/>
      <c r="J53" s="9">
        <v>1.0</v>
      </c>
      <c r="K53" s="9"/>
      <c r="L53" s="9"/>
      <c r="M53" s="9"/>
      <c r="N53" s="9"/>
      <c r="O53" s="9"/>
      <c r="P53" s="9"/>
      <c r="Q53" s="9"/>
      <c r="R53" s="9"/>
      <c r="S53" s="9"/>
      <c r="T53" s="9"/>
      <c r="U53" s="9"/>
      <c r="V53" s="9"/>
      <c r="W53" s="9"/>
      <c r="X53" s="9"/>
      <c r="Y53" s="9"/>
      <c r="Z53" s="9"/>
    </row>
    <row r="54">
      <c r="A54" s="54">
        <v>45525.38413118056</v>
      </c>
      <c r="B54" s="9"/>
      <c r="C54" s="9">
        <v>1.0</v>
      </c>
      <c r="D54" s="9"/>
      <c r="E54" s="9"/>
      <c r="F54" s="9"/>
      <c r="G54" s="9"/>
      <c r="H54" s="9"/>
      <c r="I54" s="9"/>
      <c r="J54" s="9">
        <v>1.0</v>
      </c>
      <c r="K54" s="9"/>
      <c r="L54" s="9"/>
      <c r="M54" s="9"/>
      <c r="N54" s="9"/>
      <c r="O54" s="9"/>
      <c r="P54" s="9"/>
      <c r="Q54" s="9"/>
      <c r="R54" s="9"/>
      <c r="S54" s="9"/>
      <c r="T54" s="9"/>
      <c r="U54" s="9"/>
      <c r="V54" s="9"/>
      <c r="W54" s="9"/>
      <c r="X54" s="9"/>
      <c r="Y54" s="9"/>
      <c r="Z54" s="9"/>
    </row>
    <row r="55">
      <c r="A55" s="54">
        <v>45525.4936540162</v>
      </c>
      <c r="B55" s="9"/>
      <c r="C55" s="9">
        <v>1.0</v>
      </c>
      <c r="D55" s="9"/>
      <c r="E55" s="9"/>
      <c r="F55" s="9"/>
      <c r="G55" s="9"/>
      <c r="H55" s="9"/>
      <c r="I55" s="9"/>
      <c r="J55" s="9">
        <v>1.0</v>
      </c>
      <c r="K55" s="9"/>
      <c r="L55" s="9"/>
      <c r="M55" s="9"/>
      <c r="N55" s="9"/>
      <c r="O55" s="9"/>
      <c r="P55" s="9"/>
      <c r="Q55" s="9"/>
      <c r="R55" s="9"/>
      <c r="S55" s="9"/>
      <c r="T55" s="9"/>
      <c r="U55" s="9"/>
      <c r="V55" s="9"/>
      <c r="W55" s="9"/>
      <c r="X55" s="9"/>
      <c r="Y55" s="9"/>
      <c r="Z55" s="9"/>
    </row>
    <row r="56">
      <c r="A56" s="54">
        <v>45525.494521886576</v>
      </c>
      <c r="B56" s="9"/>
      <c r="C56" s="9">
        <v>1.0</v>
      </c>
      <c r="D56" s="9"/>
      <c r="E56" s="9"/>
      <c r="F56" s="9"/>
      <c r="G56" s="9"/>
      <c r="H56" s="9"/>
      <c r="I56" s="9"/>
      <c r="J56" s="9">
        <v>1.0</v>
      </c>
      <c r="K56" s="9"/>
      <c r="L56" s="9"/>
      <c r="M56" s="9"/>
      <c r="N56" s="9"/>
      <c r="O56" s="9"/>
      <c r="P56" s="9"/>
      <c r="Q56" s="9"/>
      <c r="R56" s="9"/>
      <c r="S56" s="9"/>
      <c r="T56" s="9"/>
      <c r="U56" s="9"/>
      <c r="V56" s="9"/>
      <c r="W56" s="9"/>
      <c r="X56" s="9"/>
      <c r="Y56" s="9"/>
      <c r="Z56" s="9"/>
    </row>
    <row r="57">
      <c r="A57" s="54">
        <v>45525.613950810184</v>
      </c>
      <c r="B57" s="9"/>
      <c r="C57" s="9">
        <v>1.0</v>
      </c>
      <c r="D57" s="9"/>
      <c r="E57" s="9"/>
      <c r="F57" s="9"/>
      <c r="G57" s="9"/>
      <c r="H57" s="9"/>
      <c r="I57" s="9"/>
      <c r="J57" s="9">
        <v>1.0</v>
      </c>
      <c r="K57" s="9"/>
      <c r="L57" s="9"/>
      <c r="M57" s="9"/>
      <c r="N57" s="9"/>
      <c r="O57" s="9"/>
      <c r="P57" s="9"/>
      <c r="Q57" s="9"/>
      <c r="R57" s="9"/>
      <c r="S57" s="9"/>
      <c r="T57" s="9"/>
      <c r="U57" s="9"/>
      <c r="V57" s="9"/>
      <c r="W57" s="9"/>
      <c r="X57" s="9"/>
      <c r="Y57" s="9"/>
      <c r="Z57" s="9"/>
    </row>
    <row r="58">
      <c r="A58" s="54">
        <v>45525.63257027778</v>
      </c>
      <c r="B58" s="9"/>
      <c r="C58" s="9">
        <v>1.0</v>
      </c>
      <c r="D58" s="9"/>
      <c r="E58" s="9"/>
      <c r="F58" s="9"/>
      <c r="G58" s="9"/>
      <c r="H58" s="9"/>
      <c r="I58" s="9"/>
      <c r="J58" s="9">
        <v>1.0</v>
      </c>
      <c r="K58" s="9"/>
      <c r="L58" s="9"/>
      <c r="M58" s="9"/>
      <c r="N58" s="9"/>
      <c r="O58" s="9"/>
      <c r="P58" s="9"/>
      <c r="Q58" s="9"/>
      <c r="R58" s="9"/>
      <c r="S58" s="9"/>
      <c r="T58" s="9"/>
      <c r="U58" s="9"/>
      <c r="V58" s="9"/>
      <c r="W58" s="9"/>
      <c r="X58" s="9"/>
      <c r="Y58" s="9"/>
      <c r="Z58" s="9"/>
    </row>
    <row r="59">
      <c r="A59" s="54">
        <v>45525.66488814815</v>
      </c>
      <c r="B59" s="9"/>
      <c r="C59" s="9">
        <v>1.0</v>
      </c>
      <c r="D59" s="9"/>
      <c r="E59" s="9"/>
      <c r="F59" s="9"/>
      <c r="G59" s="9"/>
      <c r="H59" s="9"/>
      <c r="I59" s="9"/>
      <c r="J59" s="9">
        <v>1.0</v>
      </c>
      <c r="K59" s="9"/>
      <c r="L59" s="9"/>
      <c r="M59" s="9"/>
      <c r="N59" s="9"/>
      <c r="O59" s="9"/>
      <c r="P59" s="9"/>
      <c r="Q59" s="9"/>
      <c r="R59" s="9"/>
      <c r="S59" s="9"/>
      <c r="T59" s="9"/>
      <c r="U59" s="9"/>
      <c r="V59" s="9"/>
      <c r="W59" s="9"/>
      <c r="X59" s="9"/>
      <c r="Y59" s="9"/>
      <c r="Z59" s="9"/>
    </row>
    <row r="60">
      <c r="A60" s="54">
        <v>45525.68900086806</v>
      </c>
      <c r="B60" s="9"/>
      <c r="C60" s="9">
        <v>1.0</v>
      </c>
      <c r="D60" s="9"/>
      <c r="E60" s="9"/>
      <c r="F60" s="9"/>
      <c r="G60" s="9"/>
      <c r="H60" s="9"/>
      <c r="I60" s="9"/>
      <c r="J60" s="9">
        <v>1.0</v>
      </c>
      <c r="K60" s="9"/>
      <c r="L60" s="9"/>
      <c r="M60" s="9"/>
      <c r="N60" s="9"/>
      <c r="O60" s="9"/>
      <c r="P60" s="9"/>
      <c r="Q60" s="9"/>
      <c r="R60" s="9"/>
      <c r="S60" s="9"/>
      <c r="T60" s="9"/>
      <c r="U60" s="9"/>
      <c r="V60" s="9"/>
      <c r="W60" s="9"/>
      <c r="X60" s="9"/>
      <c r="Y60" s="9"/>
      <c r="Z60" s="9"/>
    </row>
    <row r="61">
      <c r="A61" s="54">
        <v>45525.82417415509</v>
      </c>
      <c r="B61" s="9"/>
      <c r="C61" s="9">
        <v>1.0</v>
      </c>
      <c r="D61" s="9"/>
      <c r="E61" s="9"/>
      <c r="F61" s="9"/>
      <c r="G61" s="9"/>
      <c r="H61" s="9"/>
      <c r="I61" s="9"/>
      <c r="J61" s="9">
        <v>1.0</v>
      </c>
      <c r="K61" s="9"/>
      <c r="L61" s="9"/>
      <c r="M61" s="9"/>
      <c r="N61" s="9"/>
      <c r="O61" s="9"/>
      <c r="P61" s="9"/>
      <c r="Q61" s="9"/>
      <c r="R61" s="9"/>
      <c r="S61" s="9"/>
      <c r="T61" s="9"/>
      <c r="U61" s="9"/>
      <c r="V61" s="9"/>
      <c r="W61" s="9"/>
      <c r="X61" s="9"/>
      <c r="Y61" s="9"/>
      <c r="Z61" s="9"/>
    </row>
    <row r="62">
      <c r="A62" s="54">
        <v>45525.83105368055</v>
      </c>
      <c r="B62" s="9"/>
      <c r="C62" s="9">
        <v>1.0</v>
      </c>
      <c r="D62" s="9"/>
      <c r="E62" s="9"/>
      <c r="F62" s="9"/>
      <c r="G62" s="9"/>
      <c r="H62" s="9"/>
      <c r="I62" s="9"/>
      <c r="J62" s="9">
        <v>1.0</v>
      </c>
      <c r="K62" s="9"/>
      <c r="L62" s="9"/>
      <c r="M62" s="9"/>
      <c r="N62" s="9"/>
      <c r="O62" s="9"/>
      <c r="P62" s="9"/>
      <c r="Q62" s="9"/>
      <c r="R62" s="9"/>
      <c r="S62" s="9"/>
      <c r="T62" s="9"/>
      <c r="U62" s="9"/>
      <c r="V62" s="9"/>
      <c r="W62" s="9"/>
      <c r="X62" s="9"/>
      <c r="Y62" s="9"/>
      <c r="Z62" s="9"/>
    </row>
    <row r="63">
      <c r="A63" s="54">
        <v>45526.632569444446</v>
      </c>
      <c r="B63" s="9"/>
      <c r="C63" s="9">
        <v>1.0</v>
      </c>
      <c r="D63" s="9"/>
      <c r="E63" s="9"/>
      <c r="F63" s="9"/>
      <c r="G63" s="9"/>
      <c r="H63" s="9"/>
      <c r="I63" s="9"/>
      <c r="J63" s="9">
        <v>1.0</v>
      </c>
      <c r="K63" s="9"/>
      <c r="L63" s="9"/>
      <c r="M63" s="9"/>
      <c r="N63" s="9"/>
      <c r="O63" s="9"/>
      <c r="P63" s="9"/>
      <c r="Q63" s="9"/>
      <c r="R63" s="9"/>
      <c r="S63" s="9"/>
      <c r="T63" s="9"/>
      <c r="U63" s="9"/>
      <c r="V63" s="9"/>
      <c r="W63" s="9"/>
      <c r="X63" s="9"/>
      <c r="Y63" s="9"/>
      <c r="Z63" s="9"/>
    </row>
    <row r="64">
      <c r="A64" s="54">
        <v>45527.632569444446</v>
      </c>
      <c r="B64" s="9"/>
      <c r="C64" s="9">
        <v>1.0</v>
      </c>
      <c r="D64" s="9"/>
      <c r="E64" s="9"/>
      <c r="F64" s="9"/>
      <c r="G64" s="9"/>
      <c r="H64" s="9"/>
      <c r="I64" s="9"/>
      <c r="J64" s="9">
        <v>1.0</v>
      </c>
      <c r="K64" s="9"/>
      <c r="L64" s="9"/>
      <c r="M64" s="9"/>
      <c r="N64" s="9"/>
      <c r="O64" s="9"/>
      <c r="P64" s="9"/>
      <c r="Q64" s="9"/>
      <c r="R64" s="9"/>
      <c r="S64" s="9"/>
      <c r="T64" s="9"/>
      <c r="U64" s="9"/>
      <c r="V64" s="9"/>
      <c r="W64" s="9"/>
      <c r="X64" s="9"/>
      <c r="Y64" s="9"/>
      <c r="Z64" s="9"/>
    </row>
    <row r="65">
      <c r="A65" s="54">
        <v>45604.660101817135</v>
      </c>
      <c r="B65" s="9"/>
      <c r="C65" s="9"/>
      <c r="D65" s="9"/>
      <c r="E65" s="9">
        <v>1.0</v>
      </c>
      <c r="F65" s="9"/>
      <c r="G65" s="9"/>
      <c r="H65" s="9"/>
      <c r="I65" s="9"/>
      <c r="J65" s="9">
        <v>1.0</v>
      </c>
      <c r="K65" s="9"/>
      <c r="L65" s="9"/>
      <c r="M65" s="9"/>
      <c r="N65" s="9"/>
      <c r="O65" s="9"/>
      <c r="P65" s="9"/>
      <c r="Q65" s="9"/>
      <c r="R65" s="9"/>
      <c r="S65" s="9"/>
      <c r="T65" s="9"/>
      <c r="U65" s="9"/>
      <c r="V65" s="9"/>
      <c r="W65" s="9"/>
      <c r="X65" s="9"/>
      <c r="Y65" s="9"/>
      <c r="Z65" s="9"/>
    </row>
    <row r="66">
      <c r="A66" s="54">
        <v>45606.604331932875</v>
      </c>
      <c r="B66" s="9"/>
      <c r="C66" s="9"/>
      <c r="D66" s="9"/>
      <c r="E66" s="9">
        <v>1.0</v>
      </c>
      <c r="F66" s="9"/>
      <c r="G66" s="9"/>
      <c r="H66" s="9"/>
      <c r="I66" s="9"/>
      <c r="J66" s="9">
        <v>1.0</v>
      </c>
      <c r="K66" s="9"/>
      <c r="L66" s="9"/>
      <c r="M66" s="9"/>
      <c r="N66" s="9"/>
      <c r="O66" s="9"/>
      <c r="P66" s="9"/>
      <c r="Q66" s="9"/>
      <c r="R66" s="9"/>
      <c r="S66" s="9"/>
      <c r="T66" s="9"/>
      <c r="U66" s="9"/>
      <c r="V66" s="9"/>
      <c r="W66" s="9"/>
      <c r="X66" s="9"/>
      <c r="Y66" s="9"/>
      <c r="Z66" s="9"/>
    </row>
    <row r="67">
      <c r="A67" s="54">
        <v>45606.78371674768</v>
      </c>
      <c r="B67" s="9"/>
      <c r="C67" s="9"/>
      <c r="D67" s="9"/>
      <c r="E67" s="9">
        <v>1.0</v>
      </c>
      <c r="F67" s="9"/>
      <c r="G67" s="9"/>
      <c r="H67" s="9"/>
      <c r="I67" s="9"/>
      <c r="J67" s="9">
        <v>1.0</v>
      </c>
      <c r="K67" s="9"/>
      <c r="L67" s="9"/>
      <c r="M67" s="9"/>
      <c r="N67" s="9"/>
      <c r="O67" s="9"/>
      <c r="P67" s="9"/>
      <c r="Q67" s="9"/>
      <c r="R67" s="9"/>
      <c r="S67" s="9"/>
      <c r="T67" s="9"/>
      <c r="U67" s="9"/>
      <c r="V67" s="9"/>
      <c r="W67" s="9"/>
      <c r="X67" s="9"/>
      <c r="Y67" s="9"/>
      <c r="Z67" s="9"/>
    </row>
    <row r="68">
      <c r="A68" s="54">
        <v>45606.790279849534</v>
      </c>
      <c r="B68" s="9"/>
      <c r="C68" s="9"/>
      <c r="D68" s="9"/>
      <c r="E68" s="9">
        <v>1.0</v>
      </c>
      <c r="F68" s="9"/>
      <c r="G68" s="9"/>
      <c r="H68" s="9"/>
      <c r="I68" s="9"/>
      <c r="J68" s="9">
        <v>1.0</v>
      </c>
      <c r="K68" s="9"/>
      <c r="L68" s="9"/>
      <c r="M68" s="9"/>
      <c r="N68" s="9"/>
      <c r="O68" s="9"/>
      <c r="P68" s="9"/>
      <c r="Q68" s="9"/>
      <c r="R68" s="9"/>
      <c r="S68" s="9"/>
      <c r="T68" s="9"/>
      <c r="U68" s="9"/>
      <c r="V68" s="9"/>
      <c r="W68" s="9"/>
      <c r="X68" s="9"/>
      <c r="Y68" s="9"/>
      <c r="Z68" s="9"/>
    </row>
    <row r="69">
      <c r="A69" s="54">
        <v>45607.42395924768</v>
      </c>
      <c r="B69" s="9"/>
      <c r="C69" s="9"/>
      <c r="D69" s="9"/>
      <c r="E69" s="9">
        <v>1.0</v>
      </c>
      <c r="F69" s="9"/>
      <c r="G69" s="9"/>
      <c r="H69" s="9"/>
      <c r="I69" s="9"/>
      <c r="J69" s="9">
        <v>1.0</v>
      </c>
      <c r="K69" s="9"/>
      <c r="L69" s="9"/>
      <c r="M69" s="9"/>
      <c r="N69" s="9"/>
      <c r="O69" s="9"/>
      <c r="P69" s="9"/>
      <c r="Q69" s="9"/>
      <c r="R69" s="9"/>
      <c r="S69" s="9"/>
      <c r="T69" s="9"/>
      <c r="U69" s="9"/>
      <c r="V69" s="9"/>
      <c r="W69" s="9"/>
      <c r="X69" s="9"/>
      <c r="Y69" s="9"/>
      <c r="Z69" s="9"/>
    </row>
    <row r="70">
      <c r="A70" s="54">
        <v>45607.43352601852</v>
      </c>
      <c r="B70" s="9"/>
      <c r="C70" s="9"/>
      <c r="D70" s="9"/>
      <c r="E70" s="9">
        <v>1.0</v>
      </c>
      <c r="F70" s="9"/>
      <c r="G70" s="9"/>
      <c r="H70" s="9"/>
      <c r="I70" s="9"/>
      <c r="J70" s="9">
        <v>1.0</v>
      </c>
      <c r="K70" s="9"/>
      <c r="L70" s="9"/>
      <c r="M70" s="9"/>
      <c r="N70" s="9"/>
      <c r="O70" s="9"/>
      <c r="P70" s="9"/>
      <c r="Q70" s="9"/>
      <c r="R70" s="9"/>
      <c r="S70" s="9"/>
      <c r="T70" s="9"/>
      <c r="U70" s="9"/>
      <c r="V70" s="9"/>
      <c r="W70" s="9"/>
      <c r="X70" s="9"/>
      <c r="Y70" s="9"/>
      <c r="Z70" s="9"/>
    </row>
    <row r="71">
      <c r="A71" s="54">
        <v>45607.441733263884</v>
      </c>
      <c r="B71" s="9"/>
      <c r="C71" s="9"/>
      <c r="D71" s="9"/>
      <c r="E71" s="9">
        <v>1.0</v>
      </c>
      <c r="F71" s="9"/>
      <c r="G71" s="9"/>
      <c r="H71" s="9"/>
      <c r="I71" s="9"/>
      <c r="J71" s="9">
        <v>1.0</v>
      </c>
      <c r="K71" s="9"/>
      <c r="L71" s="9"/>
      <c r="M71" s="9"/>
      <c r="N71" s="9"/>
      <c r="O71" s="9"/>
      <c r="P71" s="9"/>
      <c r="Q71" s="9"/>
      <c r="R71" s="9"/>
      <c r="S71" s="9"/>
      <c r="T71" s="9"/>
      <c r="U71" s="9"/>
      <c r="V71" s="9"/>
      <c r="W71" s="9"/>
      <c r="X71" s="9"/>
      <c r="Y71" s="9"/>
      <c r="Z71" s="9"/>
    </row>
    <row r="72">
      <c r="A72" s="54">
        <v>45607.445195486114</v>
      </c>
      <c r="B72" s="9"/>
      <c r="C72" s="9"/>
      <c r="D72" s="9"/>
      <c r="E72" s="9">
        <v>1.0</v>
      </c>
      <c r="F72" s="9"/>
      <c r="G72" s="9"/>
      <c r="H72" s="9"/>
      <c r="I72" s="9"/>
      <c r="J72" s="9">
        <v>1.0</v>
      </c>
      <c r="K72" s="9"/>
      <c r="L72" s="9"/>
      <c r="M72" s="9"/>
      <c r="N72" s="9"/>
      <c r="O72" s="9"/>
      <c r="P72" s="9"/>
      <c r="Q72" s="9"/>
      <c r="R72" s="9"/>
      <c r="S72" s="9"/>
      <c r="T72" s="9"/>
      <c r="U72" s="9"/>
      <c r="V72" s="9"/>
      <c r="W72" s="9"/>
      <c r="X72" s="9"/>
      <c r="Y72" s="9"/>
      <c r="Z72" s="9"/>
    </row>
    <row r="73">
      <c r="A73" s="54">
        <v>45607.448813703704</v>
      </c>
      <c r="B73" s="9"/>
      <c r="C73" s="9"/>
      <c r="D73" s="9"/>
      <c r="E73" s="9">
        <v>1.0</v>
      </c>
      <c r="F73" s="9"/>
      <c r="G73" s="9"/>
      <c r="H73" s="9"/>
      <c r="I73" s="9"/>
      <c r="J73" s="9">
        <v>1.0</v>
      </c>
      <c r="K73" s="9"/>
      <c r="L73" s="9"/>
      <c r="M73" s="9"/>
      <c r="N73" s="9"/>
      <c r="O73" s="9"/>
      <c r="P73" s="9"/>
      <c r="Q73" s="9"/>
      <c r="R73" s="9"/>
      <c r="S73" s="9"/>
      <c r="T73" s="9"/>
      <c r="U73" s="9"/>
      <c r="V73" s="9"/>
      <c r="W73" s="9"/>
      <c r="X73" s="9"/>
      <c r="Y73" s="9"/>
      <c r="Z73" s="9"/>
    </row>
    <row r="74">
      <c r="A74" s="54">
        <v>45607.455151064816</v>
      </c>
      <c r="B74" s="9"/>
      <c r="C74" s="9"/>
      <c r="D74" s="9"/>
      <c r="E74" s="9">
        <v>1.0</v>
      </c>
      <c r="F74" s="9"/>
      <c r="G74" s="9"/>
      <c r="H74" s="9"/>
      <c r="I74" s="9"/>
      <c r="J74" s="9">
        <v>1.0</v>
      </c>
      <c r="K74" s="9"/>
      <c r="L74" s="9"/>
      <c r="M74" s="9"/>
      <c r="N74" s="9"/>
      <c r="O74" s="9"/>
      <c r="P74" s="9"/>
      <c r="Q74" s="9"/>
      <c r="R74" s="9"/>
      <c r="S74" s="9"/>
      <c r="T74" s="9"/>
      <c r="U74" s="9"/>
      <c r="V74" s="9"/>
      <c r="W74" s="9"/>
      <c r="X74" s="9"/>
      <c r="Y74" s="9"/>
      <c r="Z74" s="9"/>
    </row>
    <row r="75">
      <c r="A75" s="54">
        <v>45607.456361944445</v>
      </c>
      <c r="B75" s="9"/>
      <c r="C75" s="9"/>
      <c r="D75" s="9"/>
      <c r="E75" s="9">
        <v>1.0</v>
      </c>
      <c r="F75" s="9"/>
      <c r="G75" s="9"/>
      <c r="H75" s="9"/>
      <c r="I75" s="9"/>
      <c r="J75" s="9">
        <v>1.0</v>
      </c>
      <c r="K75" s="9"/>
      <c r="L75" s="9"/>
      <c r="M75" s="9"/>
      <c r="N75" s="9"/>
      <c r="O75" s="9"/>
      <c r="P75" s="9"/>
      <c r="Q75" s="9"/>
      <c r="R75" s="9"/>
      <c r="S75" s="9"/>
      <c r="T75" s="9"/>
      <c r="U75" s="9"/>
      <c r="V75" s="9"/>
      <c r="W75" s="9"/>
      <c r="X75" s="9"/>
      <c r="Y75" s="9"/>
      <c r="Z75" s="9"/>
    </row>
    <row r="76">
      <c r="A76" s="54">
        <v>45607.45719265046</v>
      </c>
      <c r="B76" s="9"/>
      <c r="C76" s="9"/>
      <c r="D76" s="9"/>
      <c r="E76" s="9">
        <v>1.0</v>
      </c>
      <c r="F76" s="9"/>
      <c r="G76" s="9"/>
      <c r="H76" s="9"/>
      <c r="I76" s="9"/>
      <c r="J76" s="9">
        <v>1.0</v>
      </c>
      <c r="K76" s="9"/>
      <c r="L76" s="9"/>
      <c r="M76" s="9"/>
      <c r="N76" s="9"/>
      <c r="O76" s="9"/>
      <c r="P76" s="9"/>
      <c r="Q76" s="9"/>
      <c r="R76" s="9"/>
      <c r="S76" s="9"/>
      <c r="T76" s="9"/>
      <c r="U76" s="9"/>
      <c r="V76" s="9"/>
      <c r="W76" s="9"/>
      <c r="X76" s="9"/>
      <c r="Y76" s="9"/>
      <c r="Z76" s="9"/>
    </row>
    <row r="77">
      <c r="A77" s="54">
        <v>45607.45896467593</v>
      </c>
      <c r="B77" s="9"/>
      <c r="C77" s="9"/>
      <c r="D77" s="9"/>
      <c r="E77" s="9">
        <v>1.0</v>
      </c>
      <c r="F77" s="9"/>
      <c r="G77" s="9"/>
      <c r="H77" s="9"/>
      <c r="I77" s="9"/>
      <c r="J77" s="9">
        <v>1.0</v>
      </c>
      <c r="K77" s="9"/>
      <c r="L77" s="9"/>
      <c r="M77" s="9"/>
      <c r="N77" s="9"/>
      <c r="O77" s="9"/>
      <c r="P77" s="9"/>
      <c r="Q77" s="9"/>
      <c r="R77" s="9"/>
      <c r="S77" s="9"/>
      <c r="T77" s="9"/>
      <c r="U77" s="9"/>
      <c r="V77" s="9"/>
      <c r="W77" s="9"/>
      <c r="X77" s="9"/>
      <c r="Y77" s="9"/>
      <c r="Z77" s="9"/>
    </row>
    <row r="78">
      <c r="A78" s="54">
        <v>45607.46581789352</v>
      </c>
      <c r="B78" s="9"/>
      <c r="C78" s="9"/>
      <c r="D78" s="9"/>
      <c r="E78" s="9">
        <v>1.0</v>
      </c>
      <c r="F78" s="9"/>
      <c r="G78" s="9"/>
      <c r="H78" s="9"/>
      <c r="I78" s="9"/>
      <c r="J78" s="9">
        <v>1.0</v>
      </c>
      <c r="K78" s="9"/>
      <c r="L78" s="9"/>
      <c r="M78" s="9"/>
      <c r="N78" s="9"/>
      <c r="O78" s="9"/>
      <c r="P78" s="9"/>
      <c r="Q78" s="9"/>
      <c r="R78" s="9"/>
      <c r="S78" s="9"/>
      <c r="T78" s="9"/>
      <c r="U78" s="9"/>
      <c r="V78" s="9"/>
      <c r="W78" s="9"/>
      <c r="X78" s="9"/>
      <c r="Y78" s="9"/>
      <c r="Z78" s="9"/>
    </row>
    <row r="79">
      <c r="A79" s="54">
        <v>45607.46596025463</v>
      </c>
      <c r="B79" s="9"/>
      <c r="C79" s="9"/>
      <c r="D79" s="9"/>
      <c r="E79" s="9">
        <v>1.0</v>
      </c>
      <c r="F79" s="9"/>
      <c r="G79" s="9"/>
      <c r="H79" s="9"/>
      <c r="I79" s="9"/>
      <c r="J79" s="9">
        <v>1.0</v>
      </c>
      <c r="K79" s="9"/>
      <c r="L79" s="9"/>
      <c r="M79" s="9"/>
      <c r="N79" s="9"/>
      <c r="O79" s="9"/>
      <c r="P79" s="9"/>
      <c r="Q79" s="9"/>
      <c r="R79" s="9"/>
      <c r="S79" s="9"/>
      <c r="T79" s="9"/>
      <c r="U79" s="9"/>
      <c r="V79" s="9"/>
      <c r="W79" s="9"/>
      <c r="X79" s="9"/>
      <c r="Y79" s="9"/>
      <c r="Z79" s="9"/>
    </row>
    <row r="80">
      <c r="A80" s="54">
        <v>45607.47654978009</v>
      </c>
      <c r="B80" s="9"/>
      <c r="C80" s="9"/>
      <c r="D80" s="9"/>
      <c r="E80" s="9">
        <v>1.0</v>
      </c>
      <c r="F80" s="9"/>
      <c r="G80" s="9"/>
      <c r="H80" s="9"/>
      <c r="I80" s="9"/>
      <c r="J80" s="9">
        <v>1.0</v>
      </c>
      <c r="K80" s="9"/>
      <c r="L80" s="9"/>
      <c r="M80" s="9"/>
      <c r="N80" s="9"/>
      <c r="O80" s="9"/>
      <c r="P80" s="9"/>
      <c r="Q80" s="9"/>
      <c r="R80" s="9"/>
      <c r="S80" s="9"/>
      <c r="T80" s="9"/>
      <c r="U80" s="9"/>
      <c r="V80" s="9"/>
      <c r="W80" s="9"/>
      <c r="X80" s="9"/>
      <c r="Y80" s="9"/>
      <c r="Z80" s="9"/>
    </row>
    <row r="81">
      <c r="A81" s="54">
        <v>45607.47976563657</v>
      </c>
      <c r="B81" s="9"/>
      <c r="C81" s="9"/>
      <c r="D81" s="9"/>
      <c r="E81" s="9">
        <v>1.0</v>
      </c>
      <c r="F81" s="9"/>
      <c r="G81" s="9"/>
      <c r="H81" s="9"/>
      <c r="I81" s="9"/>
      <c r="J81" s="9">
        <v>1.0</v>
      </c>
      <c r="K81" s="9"/>
      <c r="L81" s="9"/>
      <c r="M81" s="9"/>
      <c r="N81" s="9"/>
      <c r="O81" s="9"/>
      <c r="P81" s="9"/>
      <c r="Q81" s="9"/>
      <c r="R81" s="9"/>
      <c r="S81" s="9"/>
      <c r="T81" s="9"/>
      <c r="U81" s="9"/>
      <c r="V81" s="9"/>
      <c r="W81" s="9"/>
      <c r="X81" s="9"/>
      <c r="Y81" s="9"/>
      <c r="Z81" s="9"/>
    </row>
    <row r="82">
      <c r="A82" s="54">
        <v>45607.49525011574</v>
      </c>
      <c r="B82" s="9"/>
      <c r="C82" s="9"/>
      <c r="D82" s="9"/>
      <c r="E82" s="9">
        <v>1.0</v>
      </c>
      <c r="F82" s="9"/>
      <c r="G82" s="9"/>
      <c r="H82" s="9"/>
      <c r="I82" s="9"/>
      <c r="J82" s="9">
        <v>1.0</v>
      </c>
      <c r="K82" s="9"/>
      <c r="L82" s="9"/>
      <c r="M82" s="9"/>
      <c r="N82" s="9"/>
      <c r="O82" s="9"/>
      <c r="P82" s="9"/>
      <c r="Q82" s="9"/>
      <c r="R82" s="9"/>
      <c r="S82" s="9"/>
      <c r="T82" s="9"/>
      <c r="U82" s="9"/>
      <c r="V82" s="9"/>
      <c r="W82" s="9"/>
      <c r="X82" s="9"/>
      <c r="Y82" s="9"/>
      <c r="Z82" s="9"/>
    </row>
    <row r="83">
      <c r="A83" s="54">
        <v>45607.53675114583</v>
      </c>
      <c r="B83" s="9"/>
      <c r="C83" s="9"/>
      <c r="D83" s="9"/>
      <c r="E83" s="9">
        <v>1.0</v>
      </c>
      <c r="F83" s="9"/>
      <c r="G83" s="9"/>
      <c r="H83" s="9"/>
      <c r="I83" s="9"/>
      <c r="J83" s="9">
        <v>1.0</v>
      </c>
      <c r="K83" s="9"/>
      <c r="L83" s="9"/>
      <c r="M83" s="9"/>
      <c r="N83" s="9"/>
      <c r="O83" s="9"/>
      <c r="P83" s="9"/>
      <c r="Q83" s="9"/>
      <c r="R83" s="9"/>
      <c r="S83" s="9"/>
      <c r="T83" s="9"/>
      <c r="U83" s="9"/>
      <c r="V83" s="9"/>
      <c r="W83" s="9"/>
      <c r="X83" s="9"/>
      <c r="Y83" s="9"/>
      <c r="Z83" s="9"/>
    </row>
    <row r="84">
      <c r="A84" s="54">
        <v>45607.53910173611</v>
      </c>
      <c r="B84" s="9"/>
      <c r="C84" s="9"/>
      <c r="D84" s="9"/>
      <c r="E84" s="9">
        <v>1.0</v>
      </c>
      <c r="F84" s="9"/>
      <c r="G84" s="9"/>
      <c r="H84" s="9"/>
      <c r="I84" s="9"/>
      <c r="J84" s="9">
        <v>1.0</v>
      </c>
      <c r="K84" s="9"/>
      <c r="L84" s="9"/>
      <c r="M84" s="9"/>
      <c r="N84" s="9"/>
      <c r="O84" s="9"/>
      <c r="P84" s="9"/>
      <c r="Q84" s="9"/>
      <c r="R84" s="9"/>
      <c r="S84" s="9"/>
      <c r="T84" s="9"/>
      <c r="U84" s="9"/>
      <c r="V84" s="9"/>
      <c r="W84" s="9"/>
      <c r="X84" s="9"/>
      <c r="Y84" s="9"/>
      <c r="Z84" s="9"/>
    </row>
    <row r="85">
      <c r="A85" s="54">
        <v>45607.54059055555</v>
      </c>
      <c r="B85" s="9"/>
      <c r="C85" s="9"/>
      <c r="D85" s="9"/>
      <c r="E85" s="9">
        <v>1.0</v>
      </c>
      <c r="F85" s="9"/>
      <c r="G85" s="9"/>
      <c r="H85" s="9"/>
      <c r="I85" s="9"/>
      <c r="J85" s="9">
        <v>1.0</v>
      </c>
      <c r="K85" s="9"/>
      <c r="L85" s="9"/>
      <c r="M85" s="9"/>
      <c r="N85" s="9"/>
      <c r="O85" s="9"/>
      <c r="P85" s="9"/>
      <c r="Q85" s="9"/>
      <c r="R85" s="9"/>
      <c r="S85" s="9"/>
      <c r="T85" s="9"/>
      <c r="U85" s="9"/>
      <c r="V85" s="9"/>
      <c r="W85" s="9"/>
      <c r="X85" s="9"/>
      <c r="Y85" s="9"/>
      <c r="Z85" s="9"/>
    </row>
    <row r="86">
      <c r="A86" s="54">
        <v>45607.54998069444</v>
      </c>
      <c r="B86" s="9"/>
      <c r="C86" s="9"/>
      <c r="D86" s="9"/>
      <c r="E86" s="9">
        <v>1.0</v>
      </c>
      <c r="F86" s="9"/>
      <c r="G86" s="9"/>
      <c r="H86" s="9"/>
      <c r="I86" s="9"/>
      <c r="J86" s="9">
        <v>1.0</v>
      </c>
      <c r="K86" s="9"/>
      <c r="L86" s="9"/>
      <c r="M86" s="9"/>
      <c r="N86" s="9"/>
      <c r="O86" s="9"/>
      <c r="P86" s="9"/>
      <c r="Q86" s="9"/>
      <c r="R86" s="9"/>
      <c r="S86" s="9"/>
      <c r="T86" s="9"/>
      <c r="U86" s="9"/>
      <c r="V86" s="9"/>
      <c r="W86" s="9"/>
      <c r="X86" s="9"/>
      <c r="Y86" s="9"/>
      <c r="Z86" s="9"/>
    </row>
    <row r="87">
      <c r="A87" s="54">
        <v>45607.55096060185</v>
      </c>
      <c r="B87" s="9"/>
      <c r="C87" s="9"/>
      <c r="D87" s="9"/>
      <c r="E87" s="9">
        <v>1.0</v>
      </c>
      <c r="F87" s="9"/>
      <c r="G87" s="9"/>
      <c r="H87" s="9"/>
      <c r="I87" s="9"/>
      <c r="J87" s="9">
        <v>1.0</v>
      </c>
      <c r="K87" s="9"/>
      <c r="L87" s="9"/>
      <c r="M87" s="9"/>
      <c r="N87" s="9"/>
      <c r="O87" s="9"/>
      <c r="P87" s="9"/>
      <c r="Q87" s="9"/>
      <c r="R87" s="9"/>
      <c r="S87" s="9"/>
      <c r="T87" s="9"/>
      <c r="U87" s="9"/>
      <c r="V87" s="9"/>
      <c r="W87" s="9"/>
      <c r="X87" s="9"/>
      <c r="Y87" s="9"/>
      <c r="Z87" s="9"/>
    </row>
    <row r="88">
      <c r="A88" s="54">
        <v>45607.55173383102</v>
      </c>
      <c r="B88" s="9"/>
      <c r="C88" s="9"/>
      <c r="D88" s="9"/>
      <c r="E88" s="9">
        <v>1.0</v>
      </c>
      <c r="F88" s="9"/>
      <c r="G88" s="9"/>
      <c r="H88" s="9"/>
      <c r="I88" s="9"/>
      <c r="J88" s="9">
        <v>1.0</v>
      </c>
      <c r="K88" s="9"/>
      <c r="L88" s="9"/>
      <c r="M88" s="9"/>
      <c r="N88" s="9"/>
      <c r="O88" s="9"/>
      <c r="P88" s="9"/>
      <c r="Q88" s="9"/>
      <c r="R88" s="9"/>
      <c r="S88" s="9"/>
      <c r="T88" s="9"/>
      <c r="U88" s="9"/>
      <c r="V88" s="9"/>
      <c r="W88" s="9"/>
      <c r="X88" s="9"/>
      <c r="Y88" s="9"/>
      <c r="Z88" s="9"/>
    </row>
    <row r="89">
      <c r="A89" s="54">
        <v>45607.55244142361</v>
      </c>
      <c r="B89" s="9"/>
      <c r="C89" s="9"/>
      <c r="D89" s="9"/>
      <c r="E89" s="9">
        <v>1.0</v>
      </c>
      <c r="F89" s="9"/>
      <c r="G89" s="9"/>
      <c r="H89" s="9"/>
      <c r="I89" s="9"/>
      <c r="J89" s="9">
        <v>1.0</v>
      </c>
      <c r="K89" s="9"/>
      <c r="L89" s="9"/>
      <c r="M89" s="9"/>
      <c r="N89" s="9"/>
      <c r="O89" s="9"/>
      <c r="P89" s="9"/>
      <c r="Q89" s="9"/>
      <c r="R89" s="9"/>
      <c r="S89" s="9"/>
      <c r="T89" s="9"/>
      <c r="U89" s="9"/>
      <c r="V89" s="9"/>
      <c r="W89" s="9"/>
      <c r="X89" s="9"/>
      <c r="Y89" s="9"/>
      <c r="Z89" s="9"/>
    </row>
    <row r="90">
      <c r="A90" s="54">
        <v>45607.55401302083</v>
      </c>
      <c r="B90" s="9"/>
      <c r="C90" s="9"/>
      <c r="D90" s="9"/>
      <c r="E90" s="9">
        <v>1.0</v>
      </c>
      <c r="F90" s="9"/>
      <c r="G90" s="9"/>
      <c r="H90" s="9"/>
      <c r="I90" s="9"/>
      <c r="J90" s="9">
        <v>1.0</v>
      </c>
      <c r="K90" s="9"/>
      <c r="L90" s="9"/>
      <c r="M90" s="9"/>
      <c r="N90" s="9"/>
      <c r="O90" s="9"/>
      <c r="P90" s="9"/>
      <c r="Q90" s="9"/>
      <c r="R90" s="9"/>
      <c r="S90" s="9"/>
      <c r="T90" s="9"/>
      <c r="U90" s="9"/>
      <c r="V90" s="9"/>
      <c r="W90" s="9"/>
      <c r="X90" s="9"/>
      <c r="Y90" s="9"/>
      <c r="Z90" s="9"/>
    </row>
    <row r="91">
      <c r="A91" s="54">
        <v>45607.58845510417</v>
      </c>
      <c r="B91" s="9"/>
      <c r="C91" s="9"/>
      <c r="D91" s="9"/>
      <c r="E91" s="9">
        <v>1.0</v>
      </c>
      <c r="F91" s="9"/>
      <c r="G91" s="9"/>
      <c r="H91" s="9"/>
      <c r="I91" s="9"/>
      <c r="J91" s="9">
        <v>1.0</v>
      </c>
      <c r="K91" s="9"/>
      <c r="L91" s="9"/>
      <c r="M91" s="9"/>
      <c r="N91" s="9"/>
      <c r="O91" s="9"/>
      <c r="P91" s="9"/>
      <c r="Q91" s="9"/>
      <c r="R91" s="9"/>
      <c r="S91" s="9"/>
      <c r="T91" s="9"/>
      <c r="U91" s="9"/>
      <c r="V91" s="9"/>
      <c r="W91" s="9"/>
      <c r="X91" s="9"/>
      <c r="Y91" s="9"/>
      <c r="Z91" s="9"/>
    </row>
    <row r="92">
      <c r="A92" s="54">
        <v>45607.60099068287</v>
      </c>
      <c r="B92" s="9"/>
      <c r="C92" s="9"/>
      <c r="D92" s="9"/>
      <c r="E92" s="9">
        <v>1.0</v>
      </c>
      <c r="F92" s="9"/>
      <c r="G92" s="9"/>
      <c r="H92" s="9"/>
      <c r="I92" s="9"/>
      <c r="J92" s="9">
        <v>1.0</v>
      </c>
      <c r="K92" s="9"/>
      <c r="L92" s="9"/>
      <c r="M92" s="9"/>
      <c r="N92" s="9"/>
      <c r="O92" s="9"/>
      <c r="P92" s="9"/>
      <c r="Q92" s="9"/>
      <c r="R92" s="9"/>
      <c r="S92" s="9"/>
      <c r="T92" s="9"/>
      <c r="U92" s="9"/>
      <c r="V92" s="9"/>
      <c r="W92" s="9"/>
      <c r="X92" s="9"/>
      <c r="Y92" s="9"/>
      <c r="Z92" s="9"/>
    </row>
    <row r="93">
      <c r="A93" s="54">
        <v>45607.60868185185</v>
      </c>
      <c r="B93" s="9"/>
      <c r="C93" s="9"/>
      <c r="D93" s="9"/>
      <c r="E93" s="9">
        <v>1.0</v>
      </c>
      <c r="F93" s="9"/>
      <c r="G93" s="9"/>
      <c r="H93" s="9"/>
      <c r="I93" s="9"/>
      <c r="J93" s="9">
        <v>1.0</v>
      </c>
      <c r="K93" s="9"/>
      <c r="L93" s="9"/>
      <c r="M93" s="9"/>
      <c r="N93" s="9"/>
      <c r="O93" s="9"/>
      <c r="P93" s="9"/>
      <c r="Q93" s="9"/>
      <c r="R93" s="9"/>
      <c r="S93" s="9"/>
      <c r="T93" s="9"/>
      <c r="U93" s="9"/>
      <c r="V93" s="9"/>
      <c r="W93" s="9"/>
      <c r="X93" s="9"/>
      <c r="Y93" s="9"/>
      <c r="Z93" s="9"/>
    </row>
    <row r="94">
      <c r="A94" s="54">
        <v>45607.612476145834</v>
      </c>
      <c r="B94" s="9"/>
      <c r="C94" s="9"/>
      <c r="D94" s="9"/>
      <c r="E94" s="9">
        <v>1.0</v>
      </c>
      <c r="F94" s="9"/>
      <c r="G94" s="9"/>
      <c r="H94" s="9"/>
      <c r="I94" s="9"/>
      <c r="J94" s="9">
        <v>1.0</v>
      </c>
      <c r="K94" s="9"/>
      <c r="L94" s="9"/>
      <c r="M94" s="9"/>
      <c r="N94" s="9"/>
      <c r="O94" s="9"/>
      <c r="P94" s="9"/>
      <c r="Q94" s="9"/>
      <c r="R94" s="9"/>
      <c r="S94" s="9"/>
      <c r="T94" s="9"/>
      <c r="U94" s="9"/>
      <c r="V94" s="9"/>
      <c r="W94" s="9"/>
      <c r="X94" s="9"/>
      <c r="Y94" s="9"/>
      <c r="Z94" s="9"/>
    </row>
    <row r="95">
      <c r="A95" s="54">
        <v>45607.62065927083</v>
      </c>
      <c r="B95" s="9"/>
      <c r="C95" s="9"/>
      <c r="D95" s="9"/>
      <c r="E95" s="9">
        <v>1.0</v>
      </c>
      <c r="F95" s="9"/>
      <c r="G95" s="9"/>
      <c r="H95" s="9"/>
      <c r="I95" s="9"/>
      <c r="J95" s="9">
        <v>1.0</v>
      </c>
      <c r="K95" s="9"/>
      <c r="L95" s="9"/>
      <c r="M95" s="9"/>
      <c r="N95" s="9"/>
      <c r="O95" s="9"/>
      <c r="P95" s="9"/>
      <c r="Q95" s="9"/>
      <c r="R95" s="9"/>
      <c r="S95" s="9"/>
      <c r="T95" s="9"/>
      <c r="U95" s="9"/>
      <c r="V95" s="9"/>
      <c r="W95" s="9"/>
      <c r="X95" s="9"/>
      <c r="Y95" s="9"/>
      <c r="Z95" s="9"/>
    </row>
    <row r="96">
      <c r="A96" s="54">
        <v>45607.62270219908</v>
      </c>
      <c r="B96" s="9"/>
      <c r="C96" s="9"/>
      <c r="D96" s="9"/>
      <c r="E96" s="9">
        <v>1.0</v>
      </c>
      <c r="F96" s="9"/>
      <c r="G96" s="9"/>
      <c r="H96" s="9"/>
      <c r="I96" s="9"/>
      <c r="J96" s="9">
        <v>1.0</v>
      </c>
      <c r="K96" s="9"/>
      <c r="L96" s="9"/>
      <c r="M96" s="9"/>
      <c r="N96" s="9"/>
      <c r="O96" s="9"/>
      <c r="P96" s="9"/>
      <c r="Q96" s="9"/>
      <c r="R96" s="9"/>
      <c r="S96" s="9"/>
      <c r="T96" s="9"/>
      <c r="U96" s="9"/>
      <c r="V96" s="9"/>
      <c r="W96" s="9"/>
      <c r="X96" s="9"/>
      <c r="Y96" s="9"/>
      <c r="Z96" s="9"/>
    </row>
    <row r="97">
      <c r="A97" s="54">
        <v>45607.68199824074</v>
      </c>
      <c r="B97" s="9"/>
      <c r="C97" s="9"/>
      <c r="D97" s="9"/>
      <c r="E97" s="9">
        <v>2.0</v>
      </c>
      <c r="F97" s="9"/>
      <c r="G97" s="9"/>
      <c r="H97" s="9"/>
      <c r="I97" s="9"/>
      <c r="J97" s="9">
        <v>2.0</v>
      </c>
      <c r="K97" s="9"/>
      <c r="L97" s="9"/>
      <c r="M97" s="9"/>
      <c r="N97" s="9"/>
      <c r="O97" s="9"/>
      <c r="P97" s="9"/>
      <c r="Q97" s="9"/>
      <c r="R97" s="9"/>
      <c r="S97" s="9"/>
      <c r="T97" s="9"/>
      <c r="U97" s="9"/>
      <c r="V97" s="9"/>
      <c r="W97" s="9"/>
      <c r="X97" s="9"/>
      <c r="Y97" s="9"/>
      <c r="Z97" s="9"/>
    </row>
    <row r="98">
      <c r="A98" s="54">
        <v>45607.69418733796</v>
      </c>
      <c r="B98" s="9"/>
      <c r="C98" s="9"/>
      <c r="D98" s="9"/>
      <c r="E98" s="9">
        <v>1.0</v>
      </c>
      <c r="F98" s="9"/>
      <c r="G98" s="9"/>
      <c r="H98" s="9"/>
      <c r="I98" s="9"/>
      <c r="J98" s="9">
        <v>1.0</v>
      </c>
      <c r="K98" s="9"/>
      <c r="L98" s="9"/>
      <c r="M98" s="9"/>
      <c r="N98" s="9"/>
      <c r="O98" s="9"/>
      <c r="P98" s="9"/>
      <c r="Q98" s="9"/>
      <c r="R98" s="9"/>
      <c r="S98" s="9"/>
      <c r="T98" s="9"/>
      <c r="U98" s="9"/>
      <c r="V98" s="9"/>
      <c r="W98" s="9"/>
      <c r="X98" s="9"/>
      <c r="Y98" s="9"/>
      <c r="Z98" s="9"/>
    </row>
    <row r="99">
      <c r="A99" s="54">
        <v>45607.697689560184</v>
      </c>
      <c r="B99" s="9"/>
      <c r="C99" s="9"/>
      <c r="D99" s="9"/>
      <c r="E99" s="9">
        <v>1.0</v>
      </c>
      <c r="F99" s="9"/>
      <c r="G99" s="9"/>
      <c r="H99" s="9"/>
      <c r="I99" s="9"/>
      <c r="J99" s="9">
        <v>1.0</v>
      </c>
      <c r="K99" s="9"/>
      <c r="L99" s="9"/>
      <c r="M99" s="9"/>
      <c r="N99" s="9"/>
      <c r="O99" s="9"/>
      <c r="P99" s="9"/>
      <c r="Q99" s="9"/>
      <c r="R99" s="9"/>
      <c r="S99" s="9"/>
      <c r="T99" s="9"/>
      <c r="U99" s="9"/>
      <c r="V99" s="9"/>
      <c r="W99" s="9"/>
      <c r="X99" s="9"/>
      <c r="Y99" s="9"/>
      <c r="Z99" s="9"/>
    </row>
    <row r="100">
      <c r="A100" s="54">
        <v>45607.69993915509</v>
      </c>
      <c r="B100" s="9"/>
      <c r="C100" s="9"/>
      <c r="D100" s="9"/>
      <c r="E100" s="9">
        <v>1.0</v>
      </c>
      <c r="F100" s="9"/>
      <c r="G100" s="9"/>
      <c r="H100" s="9"/>
      <c r="I100" s="9"/>
      <c r="J100" s="9">
        <v>1.0</v>
      </c>
      <c r="K100" s="9"/>
      <c r="L100" s="9"/>
      <c r="M100" s="9"/>
      <c r="N100" s="9"/>
      <c r="O100" s="9"/>
      <c r="P100" s="9"/>
      <c r="Q100" s="9"/>
      <c r="R100" s="9"/>
      <c r="S100" s="9"/>
      <c r="T100" s="9"/>
      <c r="U100" s="9"/>
      <c r="V100" s="9"/>
      <c r="W100" s="9"/>
      <c r="X100" s="9"/>
      <c r="Y100" s="9"/>
      <c r="Z100" s="9"/>
    </row>
    <row r="101">
      <c r="A101" s="54">
        <v>45607.70092346065</v>
      </c>
      <c r="B101" s="9"/>
      <c r="C101" s="9"/>
      <c r="D101" s="9"/>
      <c r="E101" s="9">
        <v>1.0</v>
      </c>
      <c r="F101" s="9"/>
      <c r="G101" s="9"/>
      <c r="H101" s="9"/>
      <c r="I101" s="9"/>
      <c r="J101" s="9">
        <v>1.0</v>
      </c>
      <c r="K101" s="9"/>
      <c r="L101" s="9"/>
      <c r="M101" s="9"/>
      <c r="N101" s="9"/>
      <c r="O101" s="9"/>
      <c r="P101" s="9"/>
      <c r="Q101" s="9"/>
      <c r="R101" s="9"/>
      <c r="S101" s="9"/>
      <c r="T101" s="9"/>
      <c r="U101" s="9"/>
      <c r="V101" s="9"/>
      <c r="W101" s="9"/>
      <c r="X101" s="9"/>
      <c r="Y101" s="9"/>
      <c r="Z101" s="9"/>
    </row>
    <row r="102">
      <c r="A102" s="54">
        <v>45607.712140613425</v>
      </c>
      <c r="B102" s="9"/>
      <c r="C102" s="9"/>
      <c r="D102" s="9"/>
      <c r="E102" s="9">
        <v>1.0</v>
      </c>
      <c r="F102" s="9"/>
      <c r="G102" s="9"/>
      <c r="H102" s="9"/>
      <c r="I102" s="9"/>
      <c r="J102" s="9">
        <v>1.0</v>
      </c>
      <c r="K102" s="9"/>
      <c r="L102" s="9"/>
      <c r="M102" s="9"/>
      <c r="N102" s="9"/>
      <c r="O102" s="9"/>
      <c r="P102" s="9"/>
      <c r="Q102" s="9"/>
      <c r="R102" s="9"/>
      <c r="S102" s="9"/>
      <c r="T102" s="9"/>
      <c r="U102" s="9"/>
      <c r="V102" s="9"/>
      <c r="W102" s="9"/>
      <c r="X102" s="9"/>
      <c r="Y102" s="9"/>
      <c r="Z102" s="9"/>
    </row>
    <row r="103">
      <c r="A103" s="54">
        <v>45607.71398454861</v>
      </c>
      <c r="B103" s="9"/>
      <c r="C103" s="9"/>
      <c r="D103" s="9"/>
      <c r="E103" s="9">
        <v>1.0</v>
      </c>
      <c r="F103" s="9"/>
      <c r="G103" s="9"/>
      <c r="H103" s="9"/>
      <c r="I103" s="9"/>
      <c r="J103" s="9">
        <v>1.0</v>
      </c>
      <c r="K103" s="9"/>
      <c r="L103" s="9"/>
      <c r="M103" s="9"/>
      <c r="N103" s="9"/>
      <c r="O103" s="9"/>
      <c r="P103" s="9"/>
      <c r="Q103" s="9"/>
      <c r="R103" s="9"/>
      <c r="S103" s="9"/>
      <c r="T103" s="9"/>
      <c r="U103" s="9"/>
      <c r="V103" s="9"/>
      <c r="W103" s="9"/>
      <c r="X103" s="9"/>
      <c r="Y103" s="9"/>
      <c r="Z103" s="9"/>
    </row>
    <row r="104">
      <c r="A104" s="54">
        <v>45608.31397258102</v>
      </c>
      <c r="B104" s="9"/>
      <c r="C104" s="9"/>
      <c r="D104" s="9"/>
      <c r="E104" s="9">
        <v>1.0</v>
      </c>
      <c r="F104" s="9"/>
      <c r="G104" s="9"/>
      <c r="H104" s="9"/>
      <c r="I104" s="9"/>
      <c r="J104" s="9">
        <v>1.0</v>
      </c>
      <c r="K104" s="9"/>
      <c r="L104" s="9"/>
      <c r="M104" s="9"/>
      <c r="N104" s="9"/>
      <c r="O104" s="9"/>
      <c r="P104" s="9"/>
      <c r="Q104" s="9"/>
      <c r="R104" s="9"/>
      <c r="S104" s="9"/>
      <c r="T104" s="9"/>
      <c r="U104" s="9"/>
      <c r="V104" s="9"/>
      <c r="W104" s="9"/>
      <c r="X104" s="9"/>
      <c r="Y104" s="9"/>
      <c r="Z104" s="9"/>
    </row>
    <row r="105">
      <c r="A105" s="54">
        <v>45608.41064760416</v>
      </c>
      <c r="B105" s="9"/>
      <c r="C105" s="9"/>
      <c r="D105" s="9"/>
      <c r="E105" s="9">
        <v>1.0</v>
      </c>
      <c r="F105" s="9"/>
      <c r="G105" s="9"/>
      <c r="H105" s="9"/>
      <c r="I105" s="9"/>
      <c r="J105" s="9">
        <v>1.0</v>
      </c>
      <c r="K105" s="9"/>
      <c r="L105" s="9"/>
      <c r="M105" s="9"/>
      <c r="N105" s="9"/>
      <c r="O105" s="9"/>
      <c r="P105" s="9"/>
      <c r="Q105" s="9"/>
      <c r="R105" s="9"/>
      <c r="S105" s="9"/>
      <c r="T105" s="9"/>
      <c r="U105" s="9"/>
      <c r="V105" s="9"/>
      <c r="W105" s="9"/>
      <c r="X105" s="9"/>
      <c r="Y105" s="9"/>
      <c r="Z105" s="9"/>
    </row>
    <row r="106">
      <c r="A106" s="54">
        <v>45608.47953215278</v>
      </c>
      <c r="B106" s="9"/>
      <c r="C106" s="9"/>
      <c r="D106" s="9"/>
      <c r="E106" s="9">
        <v>1.0</v>
      </c>
      <c r="F106" s="9"/>
      <c r="G106" s="9"/>
      <c r="H106" s="9"/>
      <c r="I106" s="9"/>
      <c r="J106" s="9">
        <v>1.0</v>
      </c>
      <c r="K106" s="9"/>
      <c r="L106" s="9"/>
      <c r="M106" s="9"/>
      <c r="N106" s="9"/>
      <c r="O106" s="9"/>
      <c r="P106" s="9"/>
      <c r="Q106" s="9"/>
      <c r="R106" s="9"/>
      <c r="S106" s="9"/>
      <c r="T106" s="9"/>
      <c r="U106" s="9"/>
      <c r="V106" s="9"/>
      <c r="W106" s="9"/>
      <c r="X106" s="9"/>
      <c r="Y106" s="9"/>
      <c r="Z106" s="9"/>
    </row>
    <row r="107">
      <c r="A107" s="54">
        <v>45608.62129407407</v>
      </c>
      <c r="B107" s="9"/>
      <c r="C107" s="9"/>
      <c r="D107" s="9"/>
      <c r="E107" s="9">
        <v>1.0</v>
      </c>
      <c r="F107" s="9"/>
      <c r="G107" s="9"/>
      <c r="H107" s="9"/>
      <c r="I107" s="9"/>
      <c r="J107" s="9">
        <v>1.0</v>
      </c>
      <c r="K107" s="9"/>
      <c r="L107" s="9"/>
      <c r="M107" s="9"/>
      <c r="N107" s="9"/>
      <c r="O107" s="9"/>
      <c r="P107" s="9"/>
      <c r="Q107" s="9"/>
      <c r="R107" s="9"/>
      <c r="S107" s="9"/>
      <c r="T107" s="9"/>
      <c r="U107" s="9"/>
      <c r="V107" s="9"/>
      <c r="W107" s="9"/>
      <c r="X107" s="9"/>
      <c r="Y107" s="9"/>
      <c r="Z107" s="9"/>
    </row>
    <row r="108">
      <c r="A108" s="54">
        <v>45608.624105219904</v>
      </c>
      <c r="B108" s="9"/>
      <c r="C108" s="9"/>
      <c r="D108" s="9"/>
      <c r="E108" s="9">
        <v>1.0</v>
      </c>
      <c r="F108" s="9"/>
      <c r="G108" s="9"/>
      <c r="H108" s="9"/>
      <c r="I108" s="9"/>
      <c r="J108" s="9">
        <v>1.0</v>
      </c>
      <c r="K108" s="9"/>
      <c r="L108" s="9"/>
      <c r="M108" s="9"/>
      <c r="N108" s="9"/>
      <c r="O108" s="9"/>
      <c r="P108" s="9"/>
      <c r="Q108" s="9"/>
      <c r="R108" s="9"/>
      <c r="S108" s="9"/>
      <c r="T108" s="9"/>
      <c r="U108" s="9"/>
      <c r="V108" s="9"/>
      <c r="W108" s="9"/>
      <c r="X108" s="9"/>
      <c r="Y108" s="9"/>
      <c r="Z108" s="9"/>
    </row>
    <row r="109">
      <c r="A109" s="54">
        <v>45608.62759447917</v>
      </c>
      <c r="B109" s="9"/>
      <c r="C109" s="9"/>
      <c r="D109" s="9"/>
      <c r="E109" s="9">
        <v>1.0</v>
      </c>
      <c r="F109" s="9"/>
      <c r="G109" s="9"/>
      <c r="H109" s="9"/>
      <c r="I109" s="9"/>
      <c r="J109" s="9">
        <v>1.0</v>
      </c>
      <c r="K109" s="9"/>
      <c r="L109" s="9"/>
      <c r="M109" s="9"/>
      <c r="N109" s="9"/>
      <c r="O109" s="9"/>
      <c r="P109" s="9"/>
      <c r="Q109" s="9"/>
      <c r="R109" s="9"/>
      <c r="S109" s="9"/>
      <c r="T109" s="9"/>
      <c r="U109" s="9"/>
      <c r="V109" s="9"/>
      <c r="W109" s="9"/>
      <c r="X109" s="9"/>
      <c r="Y109" s="9"/>
      <c r="Z109" s="9"/>
    </row>
    <row r="110">
      <c r="A110" s="54">
        <v>45608.677387083335</v>
      </c>
      <c r="B110" s="9"/>
      <c r="C110" s="9"/>
      <c r="D110" s="9"/>
      <c r="E110" s="9">
        <v>1.0</v>
      </c>
      <c r="F110" s="9"/>
      <c r="G110" s="9"/>
      <c r="H110" s="9"/>
      <c r="I110" s="9"/>
      <c r="J110" s="9">
        <v>1.0</v>
      </c>
      <c r="K110" s="9"/>
      <c r="L110" s="9"/>
      <c r="M110" s="9"/>
      <c r="N110" s="9"/>
      <c r="O110" s="9"/>
      <c r="P110" s="9"/>
      <c r="Q110" s="9"/>
      <c r="R110" s="9"/>
      <c r="S110" s="9"/>
      <c r="T110" s="9"/>
      <c r="U110" s="9"/>
      <c r="V110" s="9"/>
      <c r="W110" s="9"/>
      <c r="X110" s="9"/>
      <c r="Y110" s="9"/>
      <c r="Z110" s="9"/>
    </row>
    <row r="111">
      <c r="A111" s="54">
        <v>45608.679309837964</v>
      </c>
      <c r="B111" s="9"/>
      <c r="C111" s="9"/>
      <c r="D111" s="9"/>
      <c r="E111" s="9">
        <v>1.0</v>
      </c>
      <c r="F111" s="9"/>
      <c r="G111" s="9"/>
      <c r="H111" s="9"/>
      <c r="I111" s="9"/>
      <c r="J111" s="9">
        <v>1.0</v>
      </c>
      <c r="K111" s="9"/>
      <c r="L111" s="9"/>
      <c r="M111" s="9"/>
      <c r="N111" s="9"/>
      <c r="O111" s="9"/>
      <c r="P111" s="9"/>
      <c r="Q111" s="9"/>
      <c r="R111" s="9"/>
      <c r="S111" s="9"/>
      <c r="T111" s="9"/>
      <c r="U111" s="9"/>
      <c r="V111" s="9"/>
      <c r="W111" s="9"/>
      <c r="X111" s="9"/>
      <c r="Y111" s="9"/>
      <c r="Z111" s="9"/>
    </row>
    <row r="112">
      <c r="A112" s="54">
        <v>45608.68129729167</v>
      </c>
      <c r="B112" s="9"/>
      <c r="C112" s="9"/>
      <c r="D112" s="9"/>
      <c r="E112" s="9">
        <v>1.0</v>
      </c>
      <c r="F112" s="9"/>
      <c r="G112" s="9"/>
      <c r="H112" s="9"/>
      <c r="I112" s="9"/>
      <c r="J112" s="9">
        <v>1.0</v>
      </c>
      <c r="K112" s="9"/>
      <c r="L112" s="9"/>
      <c r="M112" s="9"/>
      <c r="N112" s="9"/>
      <c r="O112" s="9"/>
      <c r="P112" s="9"/>
      <c r="Q112" s="9"/>
      <c r="R112" s="9"/>
      <c r="S112" s="9"/>
      <c r="T112" s="9"/>
      <c r="U112" s="9"/>
      <c r="V112" s="9"/>
      <c r="W112" s="9"/>
      <c r="X112" s="9"/>
      <c r="Y112" s="9"/>
      <c r="Z112" s="9"/>
    </row>
    <row r="113">
      <c r="A113" s="54">
        <v>45609.44120728009</v>
      </c>
      <c r="B113" s="9"/>
      <c r="C113" s="9"/>
      <c r="D113" s="9"/>
      <c r="E113" s="9">
        <v>1.0</v>
      </c>
      <c r="F113" s="9"/>
      <c r="G113" s="9"/>
      <c r="H113" s="9"/>
      <c r="I113" s="9"/>
      <c r="J113" s="9">
        <v>1.0</v>
      </c>
      <c r="K113" s="9"/>
      <c r="L113" s="9"/>
      <c r="M113" s="9"/>
      <c r="N113" s="9"/>
      <c r="O113" s="9"/>
      <c r="P113" s="9"/>
      <c r="Q113" s="9"/>
      <c r="R113" s="9"/>
      <c r="S113" s="9"/>
      <c r="T113" s="9"/>
      <c r="U113" s="9"/>
      <c r="V113" s="9"/>
      <c r="W113" s="9"/>
      <c r="X113" s="9"/>
      <c r="Y113" s="9"/>
      <c r="Z113" s="9"/>
    </row>
    <row r="114">
      <c r="A114" s="54">
        <v>45609.50073112268</v>
      </c>
      <c r="B114" s="9"/>
      <c r="C114" s="9"/>
      <c r="D114" s="9"/>
      <c r="E114" s="9">
        <v>1.0</v>
      </c>
      <c r="F114" s="9"/>
      <c r="G114" s="9"/>
      <c r="H114" s="9"/>
      <c r="I114" s="9"/>
      <c r="J114" s="9">
        <v>1.0</v>
      </c>
      <c r="K114" s="9"/>
      <c r="L114" s="9"/>
      <c r="M114" s="9"/>
      <c r="N114" s="9"/>
      <c r="O114" s="9"/>
      <c r="P114" s="9"/>
      <c r="Q114" s="9"/>
      <c r="R114" s="9"/>
      <c r="S114" s="9"/>
      <c r="T114" s="9"/>
      <c r="U114" s="9"/>
      <c r="V114" s="9"/>
      <c r="W114" s="9"/>
      <c r="X114" s="9"/>
      <c r="Y114" s="9"/>
      <c r="Z114" s="9"/>
    </row>
    <row r="115">
      <c r="A115" s="54">
        <v>45609.57534383102</v>
      </c>
      <c r="B115" s="9"/>
      <c r="C115" s="9"/>
      <c r="D115" s="9"/>
      <c r="E115" s="9">
        <v>1.0</v>
      </c>
      <c r="F115" s="9"/>
      <c r="G115" s="9"/>
      <c r="H115" s="9"/>
      <c r="I115" s="9"/>
      <c r="J115" s="9">
        <v>1.0</v>
      </c>
      <c r="K115" s="9"/>
      <c r="L115" s="9"/>
      <c r="M115" s="9"/>
      <c r="N115" s="9"/>
      <c r="O115" s="9"/>
      <c r="P115" s="9"/>
      <c r="Q115" s="9"/>
      <c r="R115" s="9"/>
      <c r="S115" s="9"/>
      <c r="T115" s="9"/>
      <c r="U115" s="9"/>
      <c r="V115" s="9"/>
      <c r="W115" s="9"/>
      <c r="X115" s="9"/>
      <c r="Y115" s="9"/>
      <c r="Z115" s="9"/>
    </row>
    <row r="116">
      <c r="A116" s="54">
        <v>45614.494650567125</v>
      </c>
      <c r="B116" s="9"/>
      <c r="C116" s="9"/>
      <c r="D116" s="9"/>
      <c r="E116" s="9">
        <v>1.0</v>
      </c>
      <c r="F116" s="9"/>
      <c r="G116" s="9"/>
      <c r="H116" s="9"/>
      <c r="I116" s="9"/>
      <c r="J116" s="9">
        <v>1.0</v>
      </c>
      <c r="K116" s="9"/>
      <c r="L116" s="9"/>
      <c r="M116" s="9"/>
      <c r="N116" s="9"/>
      <c r="O116" s="9"/>
      <c r="P116" s="9"/>
      <c r="Q116" s="9"/>
      <c r="R116" s="9"/>
      <c r="S116" s="9"/>
      <c r="T116" s="9"/>
      <c r="U116" s="9"/>
      <c r="V116" s="9"/>
      <c r="W116" s="9"/>
      <c r="X116" s="9"/>
      <c r="Y116" s="9"/>
      <c r="Z116" s="9"/>
    </row>
    <row r="117">
      <c r="A117" s="54">
        <v>45614.495709780094</v>
      </c>
      <c r="B117" s="9"/>
      <c r="C117" s="9"/>
      <c r="D117" s="9"/>
      <c r="E117" s="9">
        <v>1.0</v>
      </c>
      <c r="F117" s="9"/>
      <c r="G117" s="9"/>
      <c r="H117" s="9"/>
      <c r="I117" s="9"/>
      <c r="J117" s="9">
        <v>1.0</v>
      </c>
      <c r="K117" s="9"/>
      <c r="L117" s="9"/>
      <c r="M117" s="9"/>
      <c r="N117" s="9"/>
      <c r="O117" s="9"/>
      <c r="P117" s="9"/>
      <c r="Q117" s="9"/>
      <c r="R117" s="9"/>
      <c r="S117" s="9"/>
      <c r="T117" s="9"/>
      <c r="U117" s="9"/>
      <c r="V117" s="9"/>
      <c r="W117" s="9"/>
      <c r="X117" s="9"/>
      <c r="Y117" s="9"/>
      <c r="Z117" s="9"/>
    </row>
    <row r="118">
      <c r="A118" s="54">
        <v>45614.496807881944</v>
      </c>
      <c r="B118" s="9"/>
      <c r="C118" s="9"/>
      <c r="D118" s="9"/>
      <c r="E118" s="9">
        <v>1.0</v>
      </c>
      <c r="F118" s="9"/>
      <c r="G118" s="9"/>
      <c r="H118" s="9"/>
      <c r="I118" s="9"/>
      <c r="J118" s="9">
        <v>1.0</v>
      </c>
      <c r="K118" s="9"/>
      <c r="L118" s="9"/>
      <c r="M118" s="9"/>
      <c r="N118" s="9"/>
      <c r="O118" s="9"/>
      <c r="P118" s="9"/>
      <c r="Q118" s="9"/>
      <c r="R118" s="9"/>
      <c r="S118" s="9"/>
      <c r="T118" s="9"/>
      <c r="U118" s="9"/>
      <c r="V118" s="9"/>
      <c r="W118" s="9"/>
      <c r="X118" s="9"/>
      <c r="Y118" s="9"/>
      <c r="Z118" s="9"/>
    </row>
    <row r="119">
      <c r="A119" s="54">
        <v>45614.563935150465</v>
      </c>
      <c r="B119" s="9"/>
      <c r="C119" s="9"/>
      <c r="D119" s="9"/>
      <c r="E119" s="9">
        <v>1.0</v>
      </c>
      <c r="F119" s="9"/>
      <c r="G119" s="9"/>
      <c r="H119" s="9"/>
      <c r="I119" s="9"/>
      <c r="J119" s="9">
        <v>1.0</v>
      </c>
      <c r="K119" s="9"/>
      <c r="L119" s="9"/>
      <c r="M119" s="9"/>
      <c r="N119" s="9"/>
      <c r="O119" s="9"/>
      <c r="P119" s="9"/>
      <c r="Q119" s="9"/>
      <c r="R119" s="9"/>
      <c r="S119" s="9"/>
      <c r="T119" s="9"/>
      <c r="U119" s="9"/>
      <c r="V119" s="9"/>
      <c r="W119" s="9"/>
      <c r="X119" s="9"/>
      <c r="Y119" s="9"/>
      <c r="Z119" s="9"/>
    </row>
    <row r="120">
      <c r="A120" s="54">
        <v>45614.596719548616</v>
      </c>
      <c r="B120" s="9"/>
      <c r="C120" s="9"/>
      <c r="D120" s="9"/>
      <c r="E120" s="9">
        <v>1.0</v>
      </c>
      <c r="F120" s="9"/>
      <c r="G120" s="9"/>
      <c r="H120" s="9"/>
      <c r="I120" s="9"/>
      <c r="J120" s="9">
        <v>1.0</v>
      </c>
      <c r="K120" s="9"/>
      <c r="L120" s="9"/>
      <c r="M120" s="9"/>
      <c r="N120" s="9"/>
      <c r="O120" s="9"/>
      <c r="P120" s="9"/>
      <c r="Q120" s="9"/>
      <c r="R120" s="9"/>
      <c r="S120" s="9"/>
      <c r="T120" s="9"/>
      <c r="U120" s="9"/>
      <c r="V120" s="9"/>
      <c r="W120" s="9"/>
      <c r="X120" s="9"/>
      <c r="Y120" s="9"/>
      <c r="Z120" s="9"/>
    </row>
    <row r="121">
      <c r="A121" s="54">
        <v>45614.597754456016</v>
      </c>
      <c r="B121" s="9"/>
      <c r="C121" s="9"/>
      <c r="D121" s="9"/>
      <c r="E121" s="9">
        <v>1.0</v>
      </c>
      <c r="F121" s="9"/>
      <c r="G121" s="9"/>
      <c r="H121" s="9"/>
      <c r="I121" s="9"/>
      <c r="J121" s="9">
        <v>1.0</v>
      </c>
      <c r="K121" s="9"/>
      <c r="L121" s="9"/>
      <c r="M121" s="9"/>
      <c r="N121" s="9"/>
      <c r="O121" s="9"/>
      <c r="P121" s="9"/>
      <c r="Q121" s="9"/>
      <c r="R121" s="9"/>
      <c r="S121" s="9"/>
      <c r="T121" s="9"/>
      <c r="U121" s="9"/>
      <c r="V121" s="9"/>
      <c r="W121" s="9"/>
      <c r="X121" s="9"/>
      <c r="Y121" s="9"/>
      <c r="Z121" s="9"/>
    </row>
    <row r="122">
      <c r="A122" s="54">
        <v>45614.59828443287</v>
      </c>
      <c r="B122" s="9"/>
      <c r="C122" s="9"/>
      <c r="D122" s="9"/>
      <c r="E122" s="9">
        <v>1.0</v>
      </c>
      <c r="F122" s="9"/>
      <c r="G122" s="9"/>
      <c r="H122" s="9"/>
      <c r="I122" s="9"/>
      <c r="J122" s="9">
        <v>1.0</v>
      </c>
      <c r="K122" s="9"/>
      <c r="L122" s="9"/>
      <c r="M122" s="9"/>
      <c r="N122" s="9"/>
      <c r="O122" s="9"/>
      <c r="P122" s="9"/>
      <c r="Q122" s="9"/>
      <c r="R122" s="9"/>
      <c r="S122" s="9"/>
      <c r="T122" s="9"/>
      <c r="U122" s="9"/>
      <c r="V122" s="9"/>
      <c r="W122" s="9"/>
      <c r="X122" s="9"/>
      <c r="Y122" s="9"/>
      <c r="Z122" s="9"/>
    </row>
    <row r="123">
      <c r="A123" s="54">
        <v>45618.44252023148</v>
      </c>
      <c r="B123" s="9"/>
      <c r="C123" s="9"/>
      <c r="D123" s="9"/>
      <c r="E123" s="9">
        <v>1.0</v>
      </c>
      <c r="F123" s="9"/>
      <c r="G123" s="9"/>
      <c r="H123" s="9"/>
      <c r="I123" s="9"/>
      <c r="J123" s="9">
        <v>1.0</v>
      </c>
      <c r="K123" s="9"/>
      <c r="L123" s="9"/>
      <c r="M123" s="9"/>
      <c r="N123" s="9"/>
      <c r="O123" s="9"/>
      <c r="P123" s="9"/>
      <c r="Q123" s="9"/>
      <c r="R123" s="9"/>
      <c r="S123" s="9"/>
      <c r="T123" s="9"/>
      <c r="U123" s="9"/>
      <c r="V123" s="9"/>
      <c r="W123" s="9"/>
      <c r="X123" s="9"/>
      <c r="Y123" s="9"/>
      <c r="Z123" s="9"/>
    </row>
    <row r="124">
      <c r="A124" s="54">
        <v>45618.65676070601</v>
      </c>
      <c r="B124" s="9"/>
      <c r="C124" s="9"/>
      <c r="D124" s="9"/>
      <c r="E124" s="9">
        <v>1.0</v>
      </c>
      <c r="F124" s="9"/>
      <c r="G124" s="9"/>
      <c r="H124" s="9"/>
      <c r="I124" s="9"/>
      <c r="J124" s="9">
        <v>1.0</v>
      </c>
      <c r="K124" s="9"/>
      <c r="L124" s="9"/>
      <c r="M124" s="9"/>
      <c r="N124" s="9"/>
      <c r="O124" s="9"/>
      <c r="P124" s="9"/>
      <c r="Q124" s="9"/>
      <c r="R124" s="9"/>
      <c r="S124" s="9"/>
      <c r="T124" s="9"/>
      <c r="U124" s="9"/>
      <c r="V124" s="9"/>
      <c r="W124" s="9"/>
      <c r="X124" s="9"/>
      <c r="Y124" s="9"/>
      <c r="Z124" s="9"/>
    </row>
    <row r="125">
      <c r="A125" s="54">
        <v>45624.79396555555</v>
      </c>
      <c r="B125" s="9"/>
      <c r="C125" s="9"/>
      <c r="D125" s="9"/>
      <c r="E125" s="9">
        <v>1.0</v>
      </c>
      <c r="F125" s="9"/>
      <c r="G125" s="9"/>
      <c r="H125" s="9"/>
      <c r="I125" s="9"/>
      <c r="J125" s="9">
        <v>1.0</v>
      </c>
      <c r="K125" s="9"/>
      <c r="L125" s="9"/>
      <c r="M125" s="9"/>
      <c r="N125" s="9"/>
      <c r="O125" s="9"/>
      <c r="P125" s="9"/>
      <c r="Q125" s="9"/>
      <c r="R125" s="9"/>
      <c r="S125" s="9"/>
      <c r="T125" s="9"/>
      <c r="U125" s="9"/>
      <c r="V125" s="9"/>
      <c r="W125" s="9"/>
      <c r="X125" s="9"/>
      <c r="Y125" s="9"/>
      <c r="Z125" s="9"/>
    </row>
    <row r="126">
      <c r="A126" s="54">
        <v>45624.795303032406</v>
      </c>
      <c r="B126" s="9"/>
      <c r="C126" s="9"/>
      <c r="D126" s="9"/>
      <c r="E126" s="9">
        <v>1.0</v>
      </c>
      <c r="F126" s="9"/>
      <c r="G126" s="9"/>
      <c r="H126" s="9"/>
      <c r="I126" s="9"/>
      <c r="J126" s="9">
        <v>1.0</v>
      </c>
      <c r="K126" s="9"/>
      <c r="L126" s="9"/>
      <c r="M126" s="9"/>
      <c r="N126" s="9"/>
      <c r="O126" s="9"/>
      <c r="P126" s="9"/>
      <c r="Q126" s="9"/>
      <c r="R126" s="9"/>
      <c r="S126" s="9"/>
      <c r="T126" s="9"/>
      <c r="U126" s="9"/>
      <c r="V126" s="9"/>
      <c r="W126" s="9"/>
      <c r="X126" s="9"/>
      <c r="Y126" s="9"/>
      <c r="Z126" s="9"/>
    </row>
    <row r="127">
      <c r="A127" s="54">
        <v>45624.79592841435</v>
      </c>
      <c r="B127" s="9"/>
      <c r="C127" s="9"/>
      <c r="D127" s="9"/>
      <c r="E127" s="9">
        <v>1.0</v>
      </c>
      <c r="F127" s="9"/>
      <c r="G127" s="9"/>
      <c r="H127" s="9"/>
      <c r="I127" s="9"/>
      <c r="J127" s="9">
        <v>1.0</v>
      </c>
      <c r="K127" s="9"/>
      <c r="L127" s="9"/>
      <c r="M127" s="9"/>
      <c r="N127" s="9"/>
      <c r="O127" s="9"/>
      <c r="P127" s="9"/>
      <c r="Q127" s="9"/>
      <c r="R127" s="9"/>
      <c r="S127" s="9"/>
      <c r="T127" s="9"/>
      <c r="U127" s="9"/>
      <c r="V127" s="9"/>
      <c r="W127" s="9"/>
      <c r="X127" s="9"/>
      <c r="Y127" s="9"/>
      <c r="Z127" s="9"/>
    </row>
    <row r="128">
      <c r="A128" s="54">
        <v>45624.79658100694</v>
      </c>
      <c r="B128" s="9"/>
      <c r="C128" s="9"/>
      <c r="D128" s="9"/>
      <c r="E128" s="9">
        <v>1.0</v>
      </c>
      <c r="F128" s="9"/>
      <c r="G128" s="9"/>
      <c r="H128" s="9"/>
      <c r="I128" s="9"/>
      <c r="J128" s="9">
        <v>1.0</v>
      </c>
      <c r="K128" s="9"/>
      <c r="L128" s="9"/>
      <c r="M128" s="9"/>
      <c r="N128" s="9"/>
      <c r="O128" s="9"/>
      <c r="P128" s="9"/>
      <c r="Q128" s="9"/>
      <c r="R128" s="9"/>
      <c r="S128" s="9"/>
      <c r="T128" s="9"/>
      <c r="U128" s="9"/>
      <c r="V128" s="9"/>
      <c r="W128" s="9"/>
      <c r="X128" s="9"/>
      <c r="Y128" s="9"/>
      <c r="Z128" s="9"/>
    </row>
    <row r="129">
      <c r="A129" s="54">
        <v>45628.61840502315</v>
      </c>
      <c r="B129" s="9"/>
      <c r="C129" s="9"/>
      <c r="D129" s="9"/>
      <c r="E129" s="9">
        <v>1.0</v>
      </c>
      <c r="F129" s="9"/>
      <c r="G129" s="9"/>
      <c r="H129" s="9"/>
      <c r="I129" s="9"/>
      <c r="J129" s="9">
        <v>1.0</v>
      </c>
      <c r="K129" s="9"/>
      <c r="L129" s="9"/>
      <c r="M129" s="9"/>
      <c r="N129" s="9"/>
      <c r="O129" s="9"/>
      <c r="P129" s="9"/>
      <c r="Q129" s="9"/>
      <c r="R129" s="9"/>
      <c r="S129" s="9"/>
      <c r="T129" s="9"/>
      <c r="U129" s="9"/>
      <c r="V129" s="9"/>
      <c r="W129" s="9"/>
      <c r="X129" s="9"/>
      <c r="Y129" s="9"/>
      <c r="Z129" s="9"/>
    </row>
    <row r="130">
      <c r="A130" s="54">
        <v>45631.663662384264</v>
      </c>
      <c r="B130" s="9"/>
      <c r="C130" s="9"/>
      <c r="D130" s="9"/>
      <c r="E130" s="9">
        <v>1.0</v>
      </c>
      <c r="F130" s="9"/>
      <c r="G130" s="9"/>
      <c r="H130" s="9"/>
      <c r="I130" s="9"/>
      <c r="J130" s="9">
        <v>1.0</v>
      </c>
      <c r="K130" s="9"/>
      <c r="L130" s="9"/>
      <c r="M130" s="9"/>
      <c r="N130" s="9"/>
      <c r="O130" s="9"/>
      <c r="P130" s="9"/>
      <c r="Q130" s="9"/>
      <c r="R130" s="9"/>
      <c r="S130" s="9"/>
      <c r="T130" s="9"/>
      <c r="U130" s="9"/>
      <c r="V130" s="9"/>
      <c r="W130" s="9"/>
      <c r="X130" s="9"/>
      <c r="Y130" s="9"/>
      <c r="Z130" s="9"/>
    </row>
    <row r="131">
      <c r="A131" s="54">
        <v>45631.66519756944</v>
      </c>
      <c r="B131" s="9"/>
      <c r="C131" s="9"/>
      <c r="D131" s="9"/>
      <c r="E131" s="9">
        <v>1.0</v>
      </c>
      <c r="F131" s="9"/>
      <c r="G131" s="9"/>
      <c r="H131" s="9"/>
      <c r="I131" s="9"/>
      <c r="J131" s="9">
        <v>1.0</v>
      </c>
      <c r="K131" s="9"/>
      <c r="L131" s="9"/>
      <c r="M131" s="9"/>
      <c r="N131" s="9"/>
      <c r="O131" s="9"/>
      <c r="P131" s="9"/>
      <c r="Q131" s="9"/>
      <c r="R131" s="9"/>
      <c r="S131" s="9"/>
      <c r="T131" s="9"/>
      <c r="U131" s="9"/>
      <c r="V131" s="9"/>
      <c r="W131" s="9"/>
      <c r="X131" s="9"/>
      <c r="Y131" s="9"/>
      <c r="Z131" s="9"/>
    </row>
    <row r="132">
      <c r="A132" s="54">
        <v>45631.66655201389</v>
      </c>
      <c r="B132" s="9"/>
      <c r="C132" s="9"/>
      <c r="D132" s="9"/>
      <c r="E132" s="9">
        <v>1.0</v>
      </c>
      <c r="F132" s="9"/>
      <c r="G132" s="9"/>
      <c r="H132" s="9"/>
      <c r="I132" s="9"/>
      <c r="J132" s="9">
        <v>1.0</v>
      </c>
      <c r="K132" s="9"/>
      <c r="L132" s="9"/>
      <c r="M132" s="9"/>
      <c r="N132" s="9"/>
      <c r="O132" s="9"/>
      <c r="P132" s="9"/>
      <c r="Q132" s="9"/>
      <c r="R132" s="9"/>
      <c r="S132" s="9"/>
      <c r="T132" s="9"/>
      <c r="U132" s="9"/>
      <c r="V132" s="9"/>
      <c r="W132" s="9"/>
      <c r="X132" s="9"/>
      <c r="Y132" s="9"/>
      <c r="Z132" s="9"/>
    </row>
    <row r="133">
      <c r="A133" s="54">
        <v>45631.66783197917</v>
      </c>
      <c r="B133" s="9"/>
      <c r="C133" s="9"/>
      <c r="D133" s="9"/>
      <c r="E133" s="9">
        <v>1.0</v>
      </c>
      <c r="F133" s="9"/>
      <c r="G133" s="9"/>
      <c r="H133" s="9"/>
      <c r="I133" s="9"/>
      <c r="J133" s="9">
        <v>1.0</v>
      </c>
      <c r="K133" s="9"/>
      <c r="L133" s="9"/>
      <c r="M133" s="9"/>
      <c r="N133" s="9"/>
      <c r="O133" s="9"/>
      <c r="P133" s="9"/>
      <c r="Q133" s="9"/>
      <c r="R133" s="9"/>
      <c r="S133" s="9"/>
      <c r="T133" s="9"/>
      <c r="U133" s="9"/>
      <c r="V133" s="9"/>
      <c r="W133" s="9"/>
      <c r="X133" s="9"/>
      <c r="Y133" s="9"/>
      <c r="Z133" s="9"/>
    </row>
    <row r="134">
      <c r="A134" s="54">
        <v>45701.515338032405</v>
      </c>
      <c r="B134" s="9"/>
      <c r="C134" s="9"/>
      <c r="D134" s="9"/>
      <c r="E134" s="9"/>
      <c r="F134" s="9"/>
      <c r="G134" s="9">
        <v>2.0</v>
      </c>
      <c r="H134" s="9"/>
      <c r="I134" s="9"/>
      <c r="J134" s="9">
        <v>2.0</v>
      </c>
      <c r="K134" s="9"/>
      <c r="L134" s="9"/>
      <c r="M134" s="9"/>
      <c r="N134" s="9"/>
      <c r="O134" s="9"/>
      <c r="P134" s="9"/>
      <c r="Q134" s="9"/>
      <c r="R134" s="9"/>
      <c r="S134" s="9"/>
      <c r="T134" s="9"/>
      <c r="U134" s="9"/>
      <c r="V134" s="9"/>
      <c r="W134" s="9"/>
      <c r="X134" s="9"/>
      <c r="Y134" s="9"/>
      <c r="Z134" s="9"/>
    </row>
    <row r="135">
      <c r="A135" s="54">
        <v>45701.53998475695</v>
      </c>
      <c r="B135" s="9"/>
      <c r="C135" s="9"/>
      <c r="D135" s="9"/>
      <c r="E135" s="9"/>
      <c r="F135" s="9"/>
      <c r="G135" s="9">
        <v>1.0</v>
      </c>
      <c r="H135" s="9"/>
      <c r="I135" s="9"/>
      <c r="J135" s="9">
        <v>1.0</v>
      </c>
      <c r="K135" s="9"/>
      <c r="L135" s="9"/>
      <c r="M135" s="9"/>
      <c r="N135" s="9"/>
      <c r="O135" s="9"/>
      <c r="P135" s="9"/>
      <c r="Q135" s="9"/>
      <c r="R135" s="9"/>
      <c r="S135" s="9"/>
      <c r="T135" s="9"/>
      <c r="U135" s="9"/>
      <c r="V135" s="9"/>
      <c r="W135" s="9"/>
      <c r="X135" s="9"/>
      <c r="Y135" s="9"/>
      <c r="Z135" s="9"/>
    </row>
    <row r="136">
      <c r="A136" s="54">
        <v>45701.706529375</v>
      </c>
      <c r="B136" s="9"/>
      <c r="C136" s="9"/>
      <c r="D136" s="9"/>
      <c r="E136" s="9"/>
      <c r="F136" s="9"/>
      <c r="G136" s="9">
        <v>1.0</v>
      </c>
      <c r="H136" s="9"/>
      <c r="I136" s="9"/>
      <c r="J136" s="9">
        <v>1.0</v>
      </c>
      <c r="K136" s="9"/>
      <c r="L136" s="9"/>
      <c r="M136" s="9"/>
      <c r="N136" s="9"/>
      <c r="O136" s="9"/>
      <c r="P136" s="9"/>
      <c r="Q136" s="9"/>
      <c r="R136" s="9"/>
      <c r="S136" s="9"/>
      <c r="T136" s="9"/>
      <c r="U136" s="9"/>
      <c r="V136" s="9"/>
      <c r="W136" s="9"/>
      <c r="X136" s="9"/>
      <c r="Y136" s="9"/>
      <c r="Z136" s="9"/>
    </row>
    <row r="137">
      <c r="A137" s="54">
        <v>45701.70840059027</v>
      </c>
      <c r="B137" s="9"/>
      <c r="C137" s="9"/>
      <c r="D137" s="9"/>
      <c r="E137" s="9"/>
      <c r="F137" s="9"/>
      <c r="G137" s="9">
        <v>1.0</v>
      </c>
      <c r="H137" s="9"/>
      <c r="I137" s="9"/>
      <c r="J137" s="9">
        <v>1.0</v>
      </c>
      <c r="K137" s="9"/>
      <c r="L137" s="9"/>
      <c r="M137" s="9"/>
      <c r="N137" s="9"/>
      <c r="O137" s="9"/>
      <c r="P137" s="9"/>
      <c r="Q137" s="9"/>
      <c r="R137" s="9"/>
      <c r="S137" s="9"/>
      <c r="T137" s="9"/>
      <c r="U137" s="9"/>
      <c r="V137" s="9"/>
      <c r="W137" s="9"/>
      <c r="X137" s="9"/>
      <c r="Y137" s="9"/>
      <c r="Z137" s="9"/>
    </row>
    <row r="138">
      <c r="A138" s="54">
        <v>45701.790753657406</v>
      </c>
      <c r="B138" s="9"/>
      <c r="C138" s="9"/>
      <c r="D138" s="9"/>
      <c r="E138" s="9"/>
      <c r="F138" s="9"/>
      <c r="G138" s="9">
        <v>1.0</v>
      </c>
      <c r="H138" s="9"/>
      <c r="I138" s="9"/>
      <c r="J138" s="9">
        <v>1.0</v>
      </c>
      <c r="K138" s="9"/>
      <c r="L138" s="9"/>
      <c r="M138" s="9"/>
      <c r="N138" s="9"/>
      <c r="O138" s="9"/>
      <c r="P138" s="9"/>
      <c r="Q138" s="9"/>
      <c r="R138" s="9"/>
      <c r="S138" s="9"/>
      <c r="T138" s="9"/>
      <c r="U138" s="9"/>
      <c r="V138" s="9"/>
      <c r="W138" s="9"/>
      <c r="X138" s="9"/>
      <c r="Y138" s="9"/>
      <c r="Z138" s="9"/>
    </row>
    <row r="139">
      <c r="A139" s="54">
        <v>45701.79324965278</v>
      </c>
      <c r="B139" s="9"/>
      <c r="C139" s="9"/>
      <c r="D139" s="9"/>
      <c r="E139" s="9"/>
      <c r="F139" s="9"/>
      <c r="G139" s="9">
        <v>1.0</v>
      </c>
      <c r="H139" s="9"/>
      <c r="I139" s="9"/>
      <c r="J139" s="9">
        <v>1.0</v>
      </c>
      <c r="K139" s="9"/>
      <c r="L139" s="9"/>
      <c r="M139" s="9"/>
      <c r="N139" s="9"/>
      <c r="O139" s="9"/>
      <c r="P139" s="9"/>
      <c r="Q139" s="9"/>
      <c r="R139" s="9"/>
      <c r="S139" s="9"/>
      <c r="T139" s="9"/>
      <c r="U139" s="9"/>
      <c r="V139" s="9"/>
      <c r="W139" s="9"/>
      <c r="X139" s="9"/>
      <c r="Y139" s="9"/>
      <c r="Z139" s="9"/>
    </row>
    <row r="140">
      <c r="A140" s="54">
        <v>45701.79494460648</v>
      </c>
      <c r="B140" s="9"/>
      <c r="C140" s="9"/>
      <c r="D140" s="9"/>
      <c r="E140" s="9"/>
      <c r="F140" s="9"/>
      <c r="G140" s="9">
        <v>1.0</v>
      </c>
      <c r="H140" s="9"/>
      <c r="I140" s="9"/>
      <c r="J140" s="9">
        <v>1.0</v>
      </c>
      <c r="K140" s="9"/>
      <c r="L140" s="9"/>
      <c r="M140" s="9"/>
      <c r="N140" s="9"/>
      <c r="O140" s="9"/>
      <c r="P140" s="9"/>
      <c r="Q140" s="9"/>
      <c r="R140" s="9"/>
      <c r="S140" s="9"/>
      <c r="T140" s="9"/>
      <c r="U140" s="9"/>
      <c r="V140" s="9"/>
      <c r="W140" s="9"/>
      <c r="X140" s="9"/>
      <c r="Y140" s="9"/>
      <c r="Z140" s="9"/>
    </row>
    <row r="141">
      <c r="A141" s="54">
        <v>45701.7982337963</v>
      </c>
      <c r="B141" s="9"/>
      <c r="C141" s="9"/>
      <c r="D141" s="9"/>
      <c r="E141" s="9"/>
      <c r="F141" s="9"/>
      <c r="G141" s="9">
        <v>1.0</v>
      </c>
      <c r="H141" s="9"/>
      <c r="I141" s="9"/>
      <c r="J141" s="9">
        <v>1.0</v>
      </c>
      <c r="K141" s="9"/>
      <c r="L141" s="9"/>
      <c r="M141" s="9"/>
      <c r="N141" s="9"/>
      <c r="O141" s="9"/>
      <c r="P141" s="9"/>
      <c r="Q141" s="9"/>
      <c r="R141" s="9"/>
      <c r="S141" s="9"/>
      <c r="T141" s="9"/>
      <c r="U141" s="9"/>
      <c r="V141" s="9"/>
      <c r="W141" s="9"/>
      <c r="X141" s="9"/>
      <c r="Y141" s="9"/>
      <c r="Z141" s="9"/>
    </row>
    <row r="142">
      <c r="A142" s="54">
        <v>45702.36637659722</v>
      </c>
      <c r="B142" s="9"/>
      <c r="C142" s="9"/>
      <c r="D142" s="9"/>
      <c r="E142" s="9"/>
      <c r="F142" s="9"/>
      <c r="G142" s="9">
        <v>1.0</v>
      </c>
      <c r="H142" s="9"/>
      <c r="I142" s="9"/>
      <c r="J142" s="9">
        <v>1.0</v>
      </c>
      <c r="K142" s="9"/>
      <c r="L142" s="9"/>
      <c r="M142" s="9"/>
      <c r="N142" s="9"/>
      <c r="O142" s="9"/>
      <c r="P142" s="9"/>
      <c r="Q142" s="9"/>
      <c r="R142" s="9"/>
      <c r="S142" s="9"/>
      <c r="T142" s="9"/>
      <c r="U142" s="9"/>
      <c r="V142" s="9"/>
      <c r="W142" s="9"/>
      <c r="X142" s="9"/>
      <c r="Y142" s="9"/>
      <c r="Z142" s="9"/>
    </row>
    <row r="143">
      <c r="A143" s="54">
        <v>45702.36744625</v>
      </c>
      <c r="B143" s="9"/>
      <c r="C143" s="9"/>
      <c r="D143" s="9"/>
      <c r="E143" s="9"/>
      <c r="F143" s="9"/>
      <c r="G143" s="9">
        <v>1.0</v>
      </c>
      <c r="H143" s="9"/>
      <c r="I143" s="9"/>
      <c r="J143" s="9">
        <v>1.0</v>
      </c>
      <c r="K143" s="9"/>
      <c r="L143" s="9"/>
      <c r="M143" s="9"/>
      <c r="N143" s="9"/>
      <c r="O143" s="9"/>
      <c r="P143" s="9"/>
      <c r="Q143" s="9"/>
      <c r="R143" s="9"/>
      <c r="S143" s="9"/>
      <c r="T143" s="9"/>
      <c r="U143" s="9"/>
      <c r="V143" s="9"/>
      <c r="W143" s="9"/>
      <c r="X143" s="9"/>
      <c r="Y143" s="9"/>
      <c r="Z143" s="9"/>
    </row>
    <row r="144">
      <c r="A144" s="54">
        <v>45702.38166900463</v>
      </c>
      <c r="B144" s="9"/>
      <c r="C144" s="9"/>
      <c r="D144" s="9"/>
      <c r="E144" s="9"/>
      <c r="F144" s="9"/>
      <c r="G144" s="9">
        <v>1.0</v>
      </c>
      <c r="H144" s="9"/>
      <c r="I144" s="9"/>
      <c r="J144" s="9">
        <v>1.0</v>
      </c>
      <c r="K144" s="9"/>
      <c r="L144" s="9"/>
      <c r="M144" s="9"/>
      <c r="N144" s="9"/>
      <c r="O144" s="9"/>
      <c r="P144" s="9"/>
      <c r="Q144" s="9"/>
      <c r="R144" s="9"/>
      <c r="S144" s="9"/>
      <c r="T144" s="9"/>
      <c r="U144" s="9"/>
      <c r="V144" s="9"/>
      <c r="W144" s="9"/>
      <c r="X144" s="9"/>
      <c r="Y144" s="9"/>
      <c r="Z144" s="9"/>
    </row>
    <row r="145">
      <c r="A145" s="54">
        <v>45702.42931314815</v>
      </c>
      <c r="B145" s="9"/>
      <c r="C145" s="9"/>
      <c r="D145" s="9"/>
      <c r="E145" s="9">
        <v>1.0</v>
      </c>
      <c r="F145" s="9"/>
      <c r="G145" s="9"/>
      <c r="H145" s="9"/>
      <c r="I145" s="9"/>
      <c r="J145" s="9">
        <v>1.0</v>
      </c>
      <c r="K145" s="9"/>
      <c r="L145" s="9"/>
      <c r="M145" s="9"/>
      <c r="N145" s="9"/>
      <c r="O145" s="9"/>
      <c r="P145" s="9"/>
      <c r="Q145" s="9"/>
      <c r="R145" s="9"/>
      <c r="S145" s="9"/>
      <c r="T145" s="9"/>
      <c r="U145" s="9"/>
      <c r="V145" s="9"/>
      <c r="W145" s="9"/>
      <c r="X145" s="9"/>
      <c r="Y145" s="9"/>
      <c r="Z145" s="9"/>
    </row>
    <row r="146">
      <c r="A146" s="54">
        <v>45702.43573033565</v>
      </c>
      <c r="B146" s="9"/>
      <c r="C146" s="9"/>
      <c r="D146" s="9"/>
      <c r="E146" s="9"/>
      <c r="F146" s="9"/>
      <c r="G146" s="9">
        <v>1.0</v>
      </c>
      <c r="H146" s="9"/>
      <c r="I146" s="9"/>
      <c r="J146" s="9">
        <v>1.0</v>
      </c>
      <c r="K146" s="9"/>
      <c r="L146" s="9"/>
      <c r="M146" s="9"/>
      <c r="N146" s="9"/>
      <c r="O146" s="9"/>
      <c r="P146" s="9"/>
      <c r="Q146" s="9"/>
      <c r="R146" s="9"/>
      <c r="S146" s="9"/>
      <c r="T146" s="9"/>
      <c r="U146" s="9"/>
      <c r="V146" s="9"/>
      <c r="W146" s="9"/>
      <c r="X146" s="9"/>
      <c r="Y146" s="9"/>
      <c r="Z146" s="9"/>
    </row>
    <row r="147">
      <c r="A147" s="54">
        <v>45702.43633615741</v>
      </c>
      <c r="B147" s="9"/>
      <c r="C147" s="9"/>
      <c r="D147" s="9"/>
      <c r="E147" s="9"/>
      <c r="F147" s="9"/>
      <c r="G147" s="9">
        <v>1.0</v>
      </c>
      <c r="H147" s="9"/>
      <c r="I147" s="9"/>
      <c r="J147" s="9">
        <v>1.0</v>
      </c>
      <c r="K147" s="9"/>
      <c r="L147" s="9"/>
      <c r="M147" s="9"/>
      <c r="N147" s="9"/>
      <c r="O147" s="9"/>
      <c r="P147" s="9"/>
      <c r="Q147" s="9"/>
      <c r="R147" s="9"/>
      <c r="S147" s="9"/>
      <c r="T147" s="9"/>
      <c r="U147" s="9"/>
      <c r="V147" s="9"/>
      <c r="W147" s="9"/>
      <c r="X147" s="9"/>
      <c r="Y147" s="9"/>
      <c r="Z147" s="9"/>
    </row>
    <row r="148">
      <c r="A148" s="54">
        <v>45702.50530483796</v>
      </c>
      <c r="B148" s="9"/>
      <c r="C148" s="9"/>
      <c r="D148" s="9"/>
      <c r="E148" s="9"/>
      <c r="F148" s="9"/>
      <c r="G148" s="9">
        <v>1.0</v>
      </c>
      <c r="H148" s="9"/>
      <c r="I148" s="9"/>
      <c r="J148" s="9">
        <v>1.0</v>
      </c>
      <c r="K148" s="9"/>
      <c r="L148" s="9"/>
      <c r="M148" s="9"/>
      <c r="N148" s="9"/>
      <c r="O148" s="9"/>
      <c r="P148" s="9"/>
      <c r="Q148" s="9"/>
      <c r="R148" s="9"/>
      <c r="S148" s="9"/>
      <c r="T148" s="9"/>
      <c r="U148" s="9"/>
      <c r="V148" s="9"/>
      <c r="W148" s="9"/>
      <c r="X148" s="9"/>
      <c r="Y148" s="9"/>
      <c r="Z148" s="9"/>
    </row>
    <row r="149">
      <c r="A149" s="54">
        <v>45702.50929564815</v>
      </c>
      <c r="B149" s="9"/>
      <c r="C149" s="9"/>
      <c r="D149" s="9"/>
      <c r="E149" s="9"/>
      <c r="F149" s="9"/>
      <c r="G149" s="9">
        <v>1.0</v>
      </c>
      <c r="H149" s="9"/>
      <c r="I149" s="9"/>
      <c r="J149" s="9">
        <v>1.0</v>
      </c>
      <c r="K149" s="9"/>
      <c r="L149" s="9"/>
      <c r="M149" s="9"/>
      <c r="N149" s="9"/>
      <c r="O149" s="9"/>
      <c r="P149" s="9"/>
      <c r="Q149" s="9"/>
      <c r="R149" s="9"/>
      <c r="S149" s="9"/>
      <c r="T149" s="9"/>
      <c r="U149" s="9"/>
      <c r="V149" s="9"/>
      <c r="W149" s="9"/>
      <c r="X149" s="9"/>
      <c r="Y149" s="9"/>
      <c r="Z149" s="9"/>
    </row>
    <row r="150">
      <c r="A150" s="54">
        <v>45702.51146753472</v>
      </c>
      <c r="B150" s="9"/>
      <c r="C150" s="9"/>
      <c r="D150" s="9"/>
      <c r="E150" s="9"/>
      <c r="F150" s="9"/>
      <c r="G150" s="9">
        <v>1.0</v>
      </c>
      <c r="H150" s="9"/>
      <c r="I150" s="9"/>
      <c r="J150" s="9">
        <v>1.0</v>
      </c>
      <c r="K150" s="9"/>
      <c r="L150" s="9"/>
      <c r="M150" s="9"/>
      <c r="N150" s="9"/>
      <c r="O150" s="9"/>
      <c r="P150" s="9"/>
      <c r="Q150" s="9"/>
      <c r="R150" s="9"/>
      <c r="S150" s="9"/>
      <c r="T150" s="9"/>
      <c r="U150" s="9"/>
      <c r="V150" s="9"/>
      <c r="W150" s="9"/>
      <c r="X150" s="9"/>
      <c r="Y150" s="9"/>
      <c r="Z150" s="9"/>
    </row>
    <row r="151">
      <c r="A151" s="54">
        <v>45702.566822361114</v>
      </c>
      <c r="B151" s="9"/>
      <c r="C151" s="9"/>
      <c r="D151" s="9"/>
      <c r="E151" s="9"/>
      <c r="F151" s="9"/>
      <c r="G151" s="9">
        <v>1.0</v>
      </c>
      <c r="H151" s="9"/>
      <c r="I151" s="9"/>
      <c r="J151" s="9">
        <v>1.0</v>
      </c>
      <c r="K151" s="9"/>
      <c r="L151" s="9"/>
      <c r="M151" s="9"/>
      <c r="N151" s="9"/>
      <c r="O151" s="9"/>
      <c r="P151" s="9"/>
      <c r="Q151" s="9"/>
      <c r="R151" s="9"/>
      <c r="S151" s="9"/>
      <c r="T151" s="9"/>
      <c r="U151" s="9"/>
      <c r="V151" s="9"/>
      <c r="W151" s="9"/>
      <c r="X151" s="9"/>
      <c r="Y151" s="9"/>
      <c r="Z151" s="9"/>
    </row>
    <row r="152">
      <c r="A152" s="54">
        <v>45702.568993877314</v>
      </c>
      <c r="B152" s="9"/>
      <c r="C152" s="9"/>
      <c r="D152" s="9"/>
      <c r="E152" s="9"/>
      <c r="F152" s="9"/>
      <c r="G152" s="9">
        <v>1.0</v>
      </c>
      <c r="H152" s="9"/>
      <c r="I152" s="9"/>
      <c r="J152" s="9">
        <v>1.0</v>
      </c>
      <c r="K152" s="9"/>
      <c r="L152" s="9"/>
      <c r="M152" s="9"/>
      <c r="N152" s="9"/>
      <c r="O152" s="9"/>
      <c r="P152" s="9"/>
      <c r="Q152" s="9"/>
      <c r="R152" s="9"/>
      <c r="S152" s="9"/>
      <c r="T152" s="9"/>
      <c r="U152" s="9"/>
      <c r="V152" s="9"/>
      <c r="W152" s="9"/>
      <c r="X152" s="9"/>
      <c r="Y152" s="9"/>
      <c r="Z152" s="9"/>
    </row>
    <row r="153">
      <c r="A153" s="54">
        <v>45702.5713855787</v>
      </c>
      <c r="B153" s="9"/>
      <c r="C153" s="9"/>
      <c r="D153" s="9"/>
      <c r="E153" s="9"/>
      <c r="F153" s="9"/>
      <c r="G153" s="9">
        <v>1.0</v>
      </c>
      <c r="H153" s="9"/>
      <c r="I153" s="9"/>
      <c r="J153" s="9">
        <v>1.0</v>
      </c>
      <c r="K153" s="9"/>
      <c r="L153" s="9"/>
      <c r="M153" s="9"/>
      <c r="N153" s="9"/>
      <c r="O153" s="9"/>
      <c r="P153" s="9"/>
      <c r="Q153" s="9"/>
      <c r="R153" s="9"/>
      <c r="S153" s="9"/>
      <c r="T153" s="9"/>
      <c r="U153" s="9"/>
      <c r="V153" s="9"/>
      <c r="W153" s="9"/>
      <c r="X153" s="9"/>
      <c r="Y153" s="9"/>
      <c r="Z153" s="9"/>
    </row>
    <row r="154">
      <c r="A154" s="54">
        <v>45702.60112010417</v>
      </c>
      <c r="B154" s="9"/>
      <c r="C154" s="9"/>
      <c r="D154" s="9"/>
      <c r="E154" s="9"/>
      <c r="F154" s="9"/>
      <c r="G154" s="9">
        <v>1.0</v>
      </c>
      <c r="H154" s="9"/>
      <c r="I154" s="9"/>
      <c r="J154" s="9">
        <v>1.0</v>
      </c>
      <c r="K154" s="9"/>
      <c r="L154" s="9"/>
      <c r="M154" s="9"/>
      <c r="N154" s="9"/>
      <c r="O154" s="9"/>
      <c r="P154" s="9"/>
      <c r="Q154" s="9"/>
      <c r="R154" s="9"/>
      <c r="S154" s="9"/>
      <c r="T154" s="9"/>
      <c r="U154" s="9"/>
      <c r="V154" s="9"/>
      <c r="W154" s="9"/>
      <c r="X154" s="9"/>
      <c r="Y154" s="9"/>
      <c r="Z154" s="9"/>
    </row>
    <row r="155">
      <c r="A155" s="54">
        <v>45705.36269576389</v>
      </c>
      <c r="B155" s="9"/>
      <c r="C155" s="9"/>
      <c r="D155" s="9"/>
      <c r="E155" s="9"/>
      <c r="F155" s="9"/>
      <c r="G155" s="9">
        <v>1.0</v>
      </c>
      <c r="H155" s="9"/>
      <c r="I155" s="9"/>
      <c r="J155" s="9">
        <v>1.0</v>
      </c>
      <c r="K155" s="9"/>
      <c r="L155" s="9"/>
      <c r="M155" s="9"/>
      <c r="N155" s="9"/>
      <c r="O155" s="9"/>
      <c r="P155" s="9"/>
      <c r="Q155" s="9"/>
      <c r="R155" s="9"/>
      <c r="S155" s="9"/>
      <c r="T155" s="9"/>
      <c r="U155" s="9"/>
      <c r="V155" s="9"/>
      <c r="W155" s="9"/>
      <c r="X155" s="9"/>
      <c r="Y155" s="9"/>
      <c r="Z155" s="9"/>
    </row>
    <row r="156">
      <c r="A156" s="54">
        <v>45705.37380498843</v>
      </c>
      <c r="B156" s="9"/>
      <c r="C156" s="9"/>
      <c r="D156" s="9"/>
      <c r="E156" s="9"/>
      <c r="F156" s="9"/>
      <c r="G156" s="9">
        <v>1.0</v>
      </c>
      <c r="H156" s="9"/>
      <c r="I156" s="9"/>
      <c r="J156" s="9">
        <v>1.0</v>
      </c>
      <c r="K156" s="9"/>
      <c r="L156" s="9"/>
      <c r="M156" s="9"/>
      <c r="N156" s="9"/>
      <c r="O156" s="9"/>
      <c r="P156" s="9"/>
      <c r="Q156" s="9"/>
      <c r="R156" s="9"/>
      <c r="S156" s="9"/>
      <c r="T156" s="9"/>
      <c r="U156" s="9"/>
      <c r="V156" s="9"/>
      <c r="W156" s="9"/>
      <c r="X156" s="9"/>
      <c r="Y156" s="9"/>
      <c r="Z156" s="9"/>
    </row>
    <row r="157">
      <c r="A157" s="54">
        <v>45705.383797291666</v>
      </c>
      <c r="B157" s="9"/>
      <c r="C157" s="9"/>
      <c r="D157" s="9"/>
      <c r="E157" s="9"/>
      <c r="F157" s="9"/>
      <c r="G157" s="9">
        <v>1.0</v>
      </c>
      <c r="H157" s="9"/>
      <c r="I157" s="9"/>
      <c r="J157" s="9">
        <v>1.0</v>
      </c>
      <c r="K157" s="9"/>
      <c r="L157" s="9"/>
      <c r="M157" s="9"/>
      <c r="N157" s="9"/>
      <c r="O157" s="9"/>
      <c r="P157" s="9"/>
      <c r="Q157" s="9"/>
      <c r="R157" s="9"/>
      <c r="S157" s="9"/>
      <c r="T157" s="9"/>
      <c r="U157" s="9"/>
      <c r="V157" s="9"/>
      <c r="W157" s="9"/>
      <c r="X157" s="9"/>
      <c r="Y157" s="9"/>
      <c r="Z157" s="9"/>
    </row>
    <row r="158">
      <c r="A158" s="54">
        <v>45705.395566886575</v>
      </c>
      <c r="B158" s="9"/>
      <c r="C158" s="9"/>
      <c r="D158" s="9"/>
      <c r="E158" s="9"/>
      <c r="F158" s="9"/>
      <c r="G158" s="9">
        <v>1.0</v>
      </c>
      <c r="H158" s="9"/>
      <c r="I158" s="9"/>
      <c r="J158" s="9">
        <v>1.0</v>
      </c>
      <c r="K158" s="9"/>
      <c r="L158" s="9"/>
      <c r="M158" s="9"/>
      <c r="N158" s="9"/>
      <c r="O158" s="9"/>
      <c r="P158" s="9"/>
      <c r="Q158" s="9"/>
      <c r="R158" s="9"/>
      <c r="S158" s="9"/>
      <c r="T158" s="9"/>
      <c r="U158" s="9"/>
      <c r="V158" s="9"/>
      <c r="W158" s="9"/>
      <c r="X158" s="9"/>
      <c r="Y158" s="9"/>
      <c r="Z158" s="9"/>
    </row>
    <row r="159">
      <c r="A159" s="54">
        <v>45705.55594261574</v>
      </c>
      <c r="B159" s="9"/>
      <c r="C159" s="9"/>
      <c r="D159" s="9"/>
      <c r="E159" s="9"/>
      <c r="F159" s="9"/>
      <c r="G159" s="9">
        <v>1.0</v>
      </c>
      <c r="H159" s="9"/>
      <c r="I159" s="9"/>
      <c r="J159" s="9">
        <v>1.0</v>
      </c>
      <c r="K159" s="9"/>
      <c r="L159" s="9"/>
      <c r="M159" s="9"/>
      <c r="N159" s="9"/>
      <c r="O159" s="9"/>
      <c r="P159" s="9"/>
      <c r="Q159" s="9"/>
      <c r="R159" s="9"/>
      <c r="S159" s="9"/>
      <c r="T159" s="9"/>
      <c r="U159" s="9"/>
      <c r="V159" s="9"/>
      <c r="W159" s="9"/>
      <c r="X159" s="9"/>
      <c r="Y159" s="9"/>
      <c r="Z159" s="9"/>
    </row>
    <row r="160">
      <c r="A160" s="54">
        <v>45705.55783997686</v>
      </c>
      <c r="B160" s="9"/>
      <c r="C160" s="9"/>
      <c r="D160" s="9"/>
      <c r="E160" s="9"/>
      <c r="F160" s="9"/>
      <c r="G160" s="9">
        <v>1.0</v>
      </c>
      <c r="H160" s="9"/>
      <c r="I160" s="9"/>
      <c r="J160" s="9">
        <v>1.0</v>
      </c>
      <c r="K160" s="9"/>
      <c r="L160" s="9"/>
      <c r="M160" s="9"/>
      <c r="N160" s="9"/>
      <c r="O160" s="9"/>
      <c r="P160" s="9"/>
      <c r="Q160" s="9"/>
      <c r="R160" s="9"/>
      <c r="S160" s="9"/>
      <c r="T160" s="9"/>
      <c r="U160" s="9"/>
      <c r="V160" s="9"/>
      <c r="W160" s="9"/>
      <c r="X160" s="9"/>
      <c r="Y160" s="9"/>
      <c r="Z160" s="9"/>
    </row>
    <row r="161">
      <c r="A161" s="54">
        <v>45705.558761238426</v>
      </c>
      <c r="B161" s="9"/>
      <c r="C161" s="9"/>
      <c r="D161" s="9"/>
      <c r="E161" s="9"/>
      <c r="F161" s="9"/>
      <c r="G161" s="9">
        <v>1.0</v>
      </c>
      <c r="H161" s="9"/>
      <c r="I161" s="9"/>
      <c r="J161" s="9">
        <v>1.0</v>
      </c>
      <c r="K161" s="9"/>
      <c r="L161" s="9"/>
      <c r="M161" s="9"/>
      <c r="N161" s="9"/>
      <c r="O161" s="9"/>
      <c r="P161" s="9"/>
      <c r="Q161" s="9"/>
      <c r="R161" s="9"/>
      <c r="S161" s="9"/>
      <c r="T161" s="9"/>
      <c r="U161" s="9"/>
      <c r="V161" s="9"/>
      <c r="W161" s="9"/>
      <c r="X161" s="9"/>
      <c r="Y161" s="9"/>
      <c r="Z161" s="9"/>
    </row>
    <row r="162">
      <c r="A162" s="54">
        <v>45705.56105215278</v>
      </c>
      <c r="B162" s="9"/>
      <c r="C162" s="9"/>
      <c r="D162" s="9"/>
      <c r="E162" s="9"/>
      <c r="F162" s="9"/>
      <c r="G162" s="9">
        <v>1.0</v>
      </c>
      <c r="H162" s="9"/>
      <c r="I162" s="9"/>
      <c r="J162" s="9">
        <v>1.0</v>
      </c>
      <c r="K162" s="9"/>
      <c r="L162" s="9"/>
      <c r="M162" s="9"/>
      <c r="N162" s="9"/>
      <c r="O162" s="9"/>
      <c r="P162" s="9"/>
      <c r="Q162" s="9"/>
      <c r="R162" s="9"/>
      <c r="S162" s="9"/>
      <c r="T162" s="9"/>
      <c r="U162" s="9"/>
      <c r="V162" s="9"/>
      <c r="W162" s="9"/>
      <c r="X162" s="9"/>
      <c r="Y162" s="9"/>
      <c r="Z162" s="9"/>
    </row>
    <row r="163">
      <c r="A163" s="54">
        <v>45705.56233184028</v>
      </c>
      <c r="B163" s="9"/>
      <c r="C163" s="9"/>
      <c r="D163" s="9"/>
      <c r="E163" s="9"/>
      <c r="F163" s="9"/>
      <c r="G163" s="9">
        <v>1.0</v>
      </c>
      <c r="H163" s="9"/>
      <c r="I163" s="9"/>
      <c r="J163" s="9">
        <v>1.0</v>
      </c>
      <c r="K163" s="9"/>
      <c r="L163" s="9"/>
      <c r="M163" s="9"/>
      <c r="N163" s="9"/>
      <c r="O163" s="9"/>
      <c r="P163" s="9"/>
      <c r="Q163" s="9"/>
      <c r="R163" s="9"/>
      <c r="S163" s="9"/>
      <c r="T163" s="9"/>
      <c r="U163" s="9"/>
      <c r="V163" s="9"/>
      <c r="W163" s="9"/>
      <c r="X163" s="9"/>
      <c r="Y163" s="9"/>
      <c r="Z163" s="9"/>
    </row>
    <row r="164">
      <c r="A164" s="54">
        <v>45705.588632534724</v>
      </c>
      <c r="B164" s="9"/>
      <c r="C164" s="9"/>
      <c r="D164" s="9"/>
      <c r="E164" s="9"/>
      <c r="F164" s="9"/>
      <c r="G164" s="9">
        <v>1.0</v>
      </c>
      <c r="H164" s="9"/>
      <c r="I164" s="9"/>
      <c r="J164" s="9">
        <v>1.0</v>
      </c>
      <c r="K164" s="9"/>
      <c r="L164" s="9"/>
      <c r="M164" s="9"/>
      <c r="N164" s="9"/>
      <c r="O164" s="9"/>
      <c r="P164" s="9"/>
      <c r="Q164" s="9"/>
      <c r="R164" s="9"/>
      <c r="S164" s="9"/>
      <c r="T164" s="9"/>
      <c r="U164" s="9"/>
      <c r="V164" s="9"/>
      <c r="W164" s="9"/>
      <c r="X164" s="9"/>
      <c r="Y164" s="9"/>
      <c r="Z164" s="9"/>
    </row>
    <row r="165">
      <c r="A165" s="54">
        <v>45705.59109398148</v>
      </c>
      <c r="B165" s="9"/>
      <c r="C165" s="9"/>
      <c r="D165" s="9"/>
      <c r="E165" s="9"/>
      <c r="F165" s="9"/>
      <c r="G165" s="9">
        <v>1.0</v>
      </c>
      <c r="H165" s="9"/>
      <c r="I165" s="9"/>
      <c r="J165" s="9">
        <v>1.0</v>
      </c>
      <c r="K165" s="9"/>
      <c r="L165" s="9"/>
      <c r="M165" s="9"/>
      <c r="N165" s="9"/>
      <c r="O165" s="9"/>
      <c r="P165" s="9"/>
      <c r="Q165" s="9"/>
      <c r="R165" s="9"/>
      <c r="S165" s="9"/>
      <c r="T165" s="9"/>
      <c r="U165" s="9"/>
      <c r="V165" s="9"/>
      <c r="W165" s="9"/>
      <c r="X165" s="9"/>
      <c r="Y165" s="9"/>
      <c r="Z165" s="9"/>
    </row>
    <row r="166">
      <c r="A166" s="54">
        <v>45705.6042271412</v>
      </c>
      <c r="B166" s="9"/>
      <c r="C166" s="9"/>
      <c r="D166" s="9"/>
      <c r="E166" s="9"/>
      <c r="F166" s="9"/>
      <c r="G166" s="9">
        <v>1.0</v>
      </c>
      <c r="H166" s="9"/>
      <c r="I166" s="9"/>
      <c r="J166" s="9">
        <v>1.0</v>
      </c>
      <c r="K166" s="9"/>
      <c r="L166" s="9"/>
      <c r="M166" s="9"/>
      <c r="N166" s="9"/>
      <c r="O166" s="9"/>
      <c r="P166" s="9"/>
      <c r="Q166" s="9"/>
      <c r="R166" s="9"/>
      <c r="S166" s="9"/>
      <c r="T166" s="9"/>
      <c r="U166" s="9"/>
      <c r="V166" s="9"/>
      <c r="W166" s="9"/>
      <c r="X166" s="9"/>
      <c r="Y166" s="9"/>
      <c r="Z166" s="9"/>
    </row>
    <row r="167">
      <c r="A167" s="54">
        <v>45705.64330422453</v>
      </c>
      <c r="B167" s="9"/>
      <c r="C167" s="9"/>
      <c r="D167" s="9"/>
      <c r="E167" s="9"/>
      <c r="F167" s="9"/>
      <c r="G167" s="9">
        <v>1.0</v>
      </c>
      <c r="H167" s="9"/>
      <c r="I167" s="9"/>
      <c r="J167" s="9">
        <v>1.0</v>
      </c>
      <c r="K167" s="9"/>
      <c r="L167" s="9"/>
      <c r="M167" s="9"/>
      <c r="N167" s="9"/>
      <c r="O167" s="9"/>
      <c r="P167" s="9"/>
      <c r="Q167" s="9"/>
      <c r="R167" s="9"/>
      <c r="S167" s="9"/>
      <c r="T167" s="9"/>
      <c r="U167" s="9"/>
      <c r="V167" s="9"/>
      <c r="W167" s="9"/>
      <c r="X167" s="9"/>
      <c r="Y167" s="9"/>
      <c r="Z167" s="9"/>
    </row>
    <row r="168">
      <c r="A168" s="54">
        <v>45707.56125024306</v>
      </c>
      <c r="B168" s="9"/>
      <c r="C168" s="9"/>
      <c r="D168" s="9"/>
      <c r="E168" s="9"/>
      <c r="F168" s="9"/>
      <c r="G168" s="9">
        <v>1.0</v>
      </c>
      <c r="H168" s="9"/>
      <c r="I168" s="9"/>
      <c r="J168" s="9">
        <v>1.0</v>
      </c>
      <c r="K168" s="9"/>
      <c r="L168" s="9"/>
      <c r="M168" s="9"/>
      <c r="N168" s="9"/>
      <c r="O168" s="9"/>
      <c r="P168" s="9"/>
      <c r="Q168" s="9"/>
      <c r="R168" s="9"/>
      <c r="S168" s="9"/>
      <c r="T168" s="9"/>
      <c r="U168" s="9"/>
      <c r="V168" s="9"/>
      <c r="W168" s="9"/>
      <c r="X168" s="9"/>
      <c r="Y168" s="9"/>
      <c r="Z168" s="9"/>
    </row>
    <row r="169">
      <c r="A169" s="54">
        <v>45708.343656909725</v>
      </c>
      <c r="B169" s="9"/>
      <c r="C169" s="9"/>
      <c r="D169" s="9"/>
      <c r="E169" s="9"/>
      <c r="F169" s="9"/>
      <c r="G169" s="9">
        <v>1.0</v>
      </c>
      <c r="H169" s="9"/>
      <c r="I169" s="9"/>
      <c r="J169" s="9">
        <v>1.0</v>
      </c>
      <c r="K169" s="9"/>
      <c r="L169" s="9"/>
      <c r="M169" s="9"/>
      <c r="N169" s="9"/>
      <c r="O169" s="9"/>
      <c r="P169" s="9"/>
      <c r="Q169" s="9"/>
      <c r="R169" s="9"/>
      <c r="S169" s="9"/>
      <c r="T169" s="9"/>
      <c r="U169" s="9"/>
      <c r="V169" s="9"/>
      <c r="W169" s="9"/>
      <c r="X169" s="9"/>
      <c r="Y169" s="9"/>
      <c r="Z169" s="9"/>
    </row>
    <row r="170">
      <c r="A170" s="54">
        <v>45708.34919079861</v>
      </c>
      <c r="B170" s="9"/>
      <c r="C170" s="9"/>
      <c r="D170" s="9"/>
      <c r="E170" s="9"/>
      <c r="F170" s="9"/>
      <c r="G170" s="9">
        <v>1.0</v>
      </c>
      <c r="H170" s="9"/>
      <c r="I170" s="9"/>
      <c r="J170" s="9">
        <v>1.0</v>
      </c>
      <c r="K170" s="9"/>
      <c r="L170" s="9"/>
      <c r="M170" s="9"/>
      <c r="N170" s="9"/>
      <c r="O170" s="9"/>
      <c r="P170" s="9"/>
      <c r="Q170" s="9"/>
      <c r="R170" s="9"/>
      <c r="S170" s="9"/>
      <c r="T170" s="9"/>
      <c r="U170" s="9"/>
      <c r="V170" s="9"/>
      <c r="W170" s="9"/>
      <c r="X170" s="9"/>
      <c r="Y170" s="9"/>
      <c r="Z170" s="9"/>
    </row>
    <row r="171">
      <c r="A171" s="54">
        <v>45708.40924616898</v>
      </c>
      <c r="B171" s="9"/>
      <c r="C171" s="9"/>
      <c r="D171" s="9"/>
      <c r="E171" s="9"/>
      <c r="F171" s="9"/>
      <c r="G171" s="9">
        <v>1.0</v>
      </c>
      <c r="H171" s="9"/>
      <c r="I171" s="9"/>
      <c r="J171" s="9">
        <v>1.0</v>
      </c>
      <c r="K171" s="9"/>
      <c r="L171" s="9"/>
      <c r="M171" s="9"/>
      <c r="N171" s="9"/>
      <c r="O171" s="9"/>
      <c r="P171" s="9"/>
      <c r="Q171" s="9"/>
      <c r="R171" s="9"/>
      <c r="S171" s="9"/>
      <c r="T171" s="9"/>
      <c r="U171" s="9"/>
      <c r="V171" s="9"/>
      <c r="W171" s="9"/>
      <c r="X171" s="9"/>
      <c r="Y171" s="9"/>
      <c r="Z171" s="9"/>
    </row>
    <row r="172">
      <c r="A172" s="54">
        <v>45708.41445685185</v>
      </c>
      <c r="B172" s="9"/>
      <c r="C172" s="9"/>
      <c r="D172" s="9"/>
      <c r="E172" s="9"/>
      <c r="F172" s="9"/>
      <c r="G172" s="9">
        <v>1.0</v>
      </c>
      <c r="H172" s="9"/>
      <c r="I172" s="9"/>
      <c r="J172" s="9">
        <v>1.0</v>
      </c>
      <c r="K172" s="9"/>
      <c r="L172" s="9"/>
      <c r="M172" s="9"/>
      <c r="N172" s="9"/>
      <c r="O172" s="9"/>
      <c r="P172" s="9"/>
      <c r="Q172" s="9"/>
      <c r="R172" s="9"/>
      <c r="S172" s="9"/>
      <c r="T172" s="9"/>
      <c r="U172" s="9"/>
      <c r="V172" s="9"/>
      <c r="W172" s="9"/>
      <c r="X172" s="9"/>
      <c r="Y172" s="9"/>
      <c r="Z172" s="9"/>
    </row>
    <row r="173">
      <c r="A173" s="54">
        <v>45708.42554056713</v>
      </c>
      <c r="B173" s="9"/>
      <c r="C173" s="9"/>
      <c r="D173" s="9"/>
      <c r="E173" s="9"/>
      <c r="F173" s="9"/>
      <c r="G173" s="9">
        <v>1.0</v>
      </c>
      <c r="H173" s="9"/>
      <c r="I173" s="9"/>
      <c r="J173" s="9">
        <v>1.0</v>
      </c>
      <c r="K173" s="9"/>
      <c r="L173" s="9"/>
      <c r="M173" s="9"/>
      <c r="N173" s="9"/>
      <c r="O173" s="9"/>
      <c r="P173" s="9"/>
      <c r="Q173" s="9"/>
      <c r="R173" s="9"/>
      <c r="S173" s="9"/>
      <c r="T173" s="9"/>
      <c r="U173" s="9"/>
      <c r="V173" s="9"/>
      <c r="W173" s="9"/>
      <c r="X173" s="9"/>
      <c r="Y173" s="9"/>
      <c r="Z173" s="9"/>
    </row>
    <row r="174">
      <c r="A174" s="54">
        <v>45708.42710282408</v>
      </c>
      <c r="B174" s="9"/>
      <c r="C174" s="9"/>
      <c r="D174" s="9"/>
      <c r="E174" s="9"/>
      <c r="F174" s="9"/>
      <c r="G174" s="9">
        <v>1.0</v>
      </c>
      <c r="H174" s="9"/>
      <c r="I174" s="9"/>
      <c r="J174" s="9">
        <v>1.0</v>
      </c>
      <c r="K174" s="9"/>
      <c r="L174" s="9"/>
      <c r="M174" s="9"/>
      <c r="N174" s="9"/>
      <c r="O174" s="9"/>
      <c r="P174" s="9"/>
      <c r="Q174" s="9"/>
      <c r="R174" s="9"/>
      <c r="S174" s="9"/>
      <c r="T174" s="9"/>
      <c r="U174" s="9"/>
      <c r="V174" s="9"/>
      <c r="W174" s="9"/>
      <c r="X174" s="9"/>
      <c r="Y174" s="9"/>
      <c r="Z174" s="9"/>
    </row>
    <row r="175">
      <c r="A175" s="54">
        <v>45708.42957226852</v>
      </c>
      <c r="B175" s="9"/>
      <c r="C175" s="9"/>
      <c r="D175" s="9"/>
      <c r="E175" s="9"/>
      <c r="F175" s="9"/>
      <c r="G175" s="9">
        <v>1.0</v>
      </c>
      <c r="H175" s="9"/>
      <c r="I175" s="9"/>
      <c r="J175" s="9">
        <v>1.0</v>
      </c>
      <c r="K175" s="9"/>
      <c r="L175" s="9"/>
      <c r="M175" s="9"/>
      <c r="N175" s="9"/>
      <c r="O175" s="9"/>
      <c r="P175" s="9"/>
      <c r="Q175" s="9"/>
      <c r="R175" s="9"/>
      <c r="S175" s="9"/>
      <c r="T175" s="9"/>
      <c r="U175" s="9"/>
      <c r="V175" s="9"/>
      <c r="W175" s="9"/>
      <c r="X175" s="9"/>
      <c r="Y175" s="9"/>
      <c r="Z175" s="9"/>
    </row>
    <row r="176">
      <c r="A176" s="54">
        <v>45708.4312471875</v>
      </c>
      <c r="B176" s="9"/>
      <c r="C176" s="9"/>
      <c r="D176" s="9"/>
      <c r="E176" s="9"/>
      <c r="F176" s="9"/>
      <c r="G176" s="9">
        <v>1.0</v>
      </c>
      <c r="H176" s="9"/>
      <c r="I176" s="9"/>
      <c r="J176" s="9">
        <v>1.0</v>
      </c>
      <c r="K176" s="9"/>
      <c r="L176" s="9"/>
      <c r="M176" s="9"/>
      <c r="N176" s="9"/>
      <c r="O176" s="9"/>
      <c r="P176" s="9"/>
      <c r="Q176" s="9"/>
      <c r="R176" s="9"/>
      <c r="S176" s="9"/>
      <c r="T176" s="9"/>
      <c r="U176" s="9"/>
      <c r="V176" s="9"/>
      <c r="W176" s="9"/>
      <c r="X176" s="9"/>
      <c r="Y176" s="9"/>
      <c r="Z176" s="9"/>
    </row>
    <row r="177">
      <c r="A177" s="54">
        <v>45708.44853314815</v>
      </c>
      <c r="B177" s="9"/>
      <c r="C177" s="9"/>
      <c r="D177" s="9"/>
      <c r="E177" s="9"/>
      <c r="F177" s="9"/>
      <c r="G177" s="9">
        <v>1.0</v>
      </c>
      <c r="H177" s="9"/>
      <c r="I177" s="9"/>
      <c r="J177" s="9">
        <v>1.0</v>
      </c>
      <c r="K177" s="9"/>
      <c r="L177" s="9"/>
      <c r="M177" s="9"/>
      <c r="N177" s="9"/>
      <c r="O177" s="9"/>
      <c r="P177" s="9"/>
      <c r="Q177" s="9"/>
      <c r="R177" s="9"/>
      <c r="S177" s="9"/>
      <c r="T177" s="9"/>
      <c r="U177" s="9"/>
      <c r="V177" s="9"/>
      <c r="W177" s="9"/>
      <c r="X177" s="9"/>
      <c r="Y177" s="9"/>
      <c r="Z177" s="9"/>
    </row>
    <row r="178">
      <c r="A178" s="54">
        <v>45708.45167552083</v>
      </c>
      <c r="B178" s="9"/>
      <c r="C178" s="9"/>
      <c r="D178" s="9"/>
      <c r="E178" s="9"/>
      <c r="F178" s="9"/>
      <c r="G178" s="9">
        <v>1.0</v>
      </c>
      <c r="H178" s="9"/>
      <c r="I178" s="9"/>
      <c r="J178" s="9">
        <v>1.0</v>
      </c>
      <c r="K178" s="9"/>
      <c r="L178" s="9"/>
      <c r="M178" s="9"/>
      <c r="N178" s="9"/>
      <c r="O178" s="9"/>
      <c r="P178" s="9"/>
      <c r="Q178" s="9"/>
      <c r="R178" s="9"/>
      <c r="S178" s="9"/>
      <c r="T178" s="9"/>
      <c r="U178" s="9"/>
      <c r="V178" s="9"/>
      <c r="W178" s="9"/>
      <c r="X178" s="9"/>
      <c r="Y178" s="9"/>
      <c r="Z178" s="9"/>
    </row>
    <row r="179">
      <c r="A179" s="54">
        <v>45708.45362840278</v>
      </c>
      <c r="B179" s="9"/>
      <c r="C179" s="9"/>
      <c r="D179" s="9"/>
      <c r="E179" s="9"/>
      <c r="F179" s="9"/>
      <c r="G179" s="9">
        <v>1.0</v>
      </c>
      <c r="H179" s="9"/>
      <c r="I179" s="9"/>
      <c r="J179" s="9">
        <v>1.0</v>
      </c>
      <c r="K179" s="9"/>
      <c r="L179" s="9"/>
      <c r="M179" s="9"/>
      <c r="N179" s="9"/>
      <c r="O179" s="9"/>
      <c r="P179" s="9"/>
      <c r="Q179" s="9"/>
      <c r="R179" s="9"/>
      <c r="S179" s="9"/>
      <c r="T179" s="9"/>
      <c r="U179" s="9"/>
      <c r="V179" s="9"/>
      <c r="W179" s="9"/>
      <c r="X179" s="9"/>
      <c r="Y179" s="9"/>
      <c r="Z179" s="9"/>
    </row>
    <row r="180">
      <c r="A180" s="54">
        <v>45708.45624135417</v>
      </c>
      <c r="B180" s="9"/>
      <c r="C180" s="9"/>
      <c r="D180" s="9"/>
      <c r="E180" s="9"/>
      <c r="F180" s="9"/>
      <c r="G180" s="9">
        <v>1.0</v>
      </c>
      <c r="H180" s="9"/>
      <c r="I180" s="9"/>
      <c r="J180" s="9">
        <v>1.0</v>
      </c>
      <c r="K180" s="9"/>
      <c r="L180" s="9"/>
      <c r="M180" s="9"/>
      <c r="N180" s="9"/>
      <c r="O180" s="9"/>
      <c r="P180" s="9"/>
      <c r="Q180" s="9"/>
      <c r="R180" s="9"/>
      <c r="S180" s="9"/>
      <c r="T180" s="9"/>
      <c r="U180" s="9"/>
      <c r="V180" s="9"/>
      <c r="W180" s="9"/>
      <c r="X180" s="9"/>
      <c r="Y180" s="9"/>
      <c r="Z180" s="9"/>
    </row>
    <row r="181">
      <c r="A181" s="54">
        <v>45708.459848287035</v>
      </c>
      <c r="B181" s="9"/>
      <c r="C181" s="9"/>
      <c r="D181" s="9"/>
      <c r="E181" s="9"/>
      <c r="F181" s="9"/>
      <c r="G181" s="9">
        <v>1.0</v>
      </c>
      <c r="H181" s="9"/>
      <c r="I181" s="9"/>
      <c r="J181" s="9">
        <v>1.0</v>
      </c>
      <c r="K181" s="9"/>
      <c r="L181" s="9"/>
      <c r="M181" s="9"/>
      <c r="N181" s="9"/>
      <c r="O181" s="9"/>
      <c r="P181" s="9"/>
      <c r="Q181" s="9"/>
      <c r="R181" s="9"/>
      <c r="S181" s="9"/>
      <c r="T181" s="9"/>
      <c r="U181" s="9"/>
      <c r="V181" s="9"/>
      <c r="W181" s="9"/>
      <c r="X181" s="9"/>
      <c r="Y181" s="9"/>
      <c r="Z181" s="9"/>
    </row>
    <row r="182">
      <c r="A182" s="54">
        <v>45708.62036284722</v>
      </c>
      <c r="B182" s="9"/>
      <c r="C182" s="9"/>
      <c r="D182" s="9"/>
      <c r="E182" s="9"/>
      <c r="F182" s="9"/>
      <c r="G182" s="9">
        <v>1.0</v>
      </c>
      <c r="H182" s="9"/>
      <c r="I182" s="9"/>
      <c r="J182" s="9">
        <v>1.0</v>
      </c>
      <c r="K182" s="9"/>
      <c r="L182" s="9"/>
      <c r="M182" s="9"/>
      <c r="N182" s="9"/>
      <c r="O182" s="9"/>
      <c r="P182" s="9"/>
      <c r="Q182" s="9"/>
      <c r="R182" s="9"/>
      <c r="S182" s="9"/>
      <c r="T182" s="9"/>
      <c r="U182" s="9"/>
      <c r="V182" s="9"/>
      <c r="W182" s="9"/>
      <c r="X182" s="9"/>
      <c r="Y182" s="9"/>
      <c r="Z182" s="9"/>
    </row>
    <row r="183">
      <c r="A183" s="54">
        <v>45708.6206659375</v>
      </c>
      <c r="B183" s="9"/>
      <c r="C183" s="9"/>
      <c r="D183" s="9"/>
      <c r="E183" s="9"/>
      <c r="F183" s="9"/>
      <c r="G183" s="9">
        <v>1.0</v>
      </c>
      <c r="H183" s="9"/>
      <c r="I183" s="9"/>
      <c r="J183" s="9">
        <v>1.0</v>
      </c>
      <c r="K183" s="9"/>
      <c r="L183" s="9"/>
      <c r="M183" s="9"/>
      <c r="N183" s="9"/>
      <c r="O183" s="9"/>
      <c r="P183" s="9"/>
      <c r="Q183" s="9"/>
      <c r="R183" s="9"/>
      <c r="S183" s="9"/>
      <c r="T183" s="9"/>
      <c r="U183" s="9"/>
      <c r="V183" s="9"/>
      <c r="W183" s="9"/>
      <c r="X183" s="9"/>
      <c r="Y183" s="9"/>
      <c r="Z183" s="9"/>
    </row>
    <row r="184">
      <c r="A184" s="54">
        <v>45708.62174310185</v>
      </c>
      <c r="B184" s="9"/>
      <c r="C184" s="9"/>
      <c r="D184" s="9"/>
      <c r="E184" s="9"/>
      <c r="F184" s="9"/>
      <c r="G184" s="9">
        <v>1.0</v>
      </c>
      <c r="H184" s="9"/>
      <c r="I184" s="9"/>
      <c r="J184" s="9">
        <v>1.0</v>
      </c>
      <c r="K184" s="9"/>
      <c r="L184" s="9"/>
      <c r="M184" s="9"/>
      <c r="N184" s="9"/>
      <c r="O184" s="9"/>
      <c r="P184" s="9"/>
      <c r="Q184" s="9"/>
      <c r="R184" s="9"/>
      <c r="S184" s="9"/>
      <c r="T184" s="9"/>
      <c r="U184" s="9"/>
      <c r="V184" s="9"/>
      <c r="W184" s="9"/>
      <c r="X184" s="9"/>
      <c r="Y184" s="9"/>
      <c r="Z184" s="9"/>
    </row>
    <row r="185">
      <c r="A185" s="54">
        <v>45708.62289388889</v>
      </c>
      <c r="B185" s="9"/>
      <c r="C185" s="9"/>
      <c r="D185" s="9"/>
      <c r="E185" s="9"/>
      <c r="F185" s="9"/>
      <c r="G185" s="9">
        <v>1.0</v>
      </c>
      <c r="H185" s="9"/>
      <c r="I185" s="9"/>
      <c r="J185" s="9">
        <v>1.0</v>
      </c>
      <c r="K185" s="9"/>
      <c r="L185" s="9"/>
      <c r="M185" s="9"/>
      <c r="N185" s="9"/>
      <c r="O185" s="9"/>
      <c r="P185" s="9"/>
      <c r="Q185" s="9"/>
      <c r="R185" s="9"/>
      <c r="S185" s="9"/>
      <c r="T185" s="9"/>
      <c r="U185" s="9"/>
      <c r="V185" s="9"/>
      <c r="W185" s="9"/>
      <c r="X185" s="9"/>
      <c r="Y185" s="9"/>
      <c r="Z185" s="9"/>
    </row>
    <row r="186">
      <c r="A186" s="54">
        <v>45708.636403888886</v>
      </c>
      <c r="B186" s="9"/>
      <c r="C186" s="9"/>
      <c r="D186" s="9"/>
      <c r="E186" s="9"/>
      <c r="F186" s="9"/>
      <c r="G186" s="9">
        <v>1.0</v>
      </c>
      <c r="H186" s="9"/>
      <c r="I186" s="9"/>
      <c r="J186" s="9">
        <v>1.0</v>
      </c>
      <c r="K186" s="9"/>
      <c r="L186" s="9"/>
      <c r="M186" s="9"/>
      <c r="N186" s="9"/>
      <c r="O186" s="9"/>
      <c r="P186" s="9"/>
      <c r="Q186" s="9"/>
      <c r="R186" s="9"/>
      <c r="S186" s="9"/>
      <c r="T186" s="9"/>
      <c r="U186" s="9"/>
      <c r="V186" s="9"/>
      <c r="W186" s="9"/>
      <c r="X186" s="9"/>
      <c r="Y186" s="9"/>
      <c r="Z186" s="9"/>
    </row>
    <row r="187">
      <c r="A187" s="54">
        <v>45708.68682581019</v>
      </c>
      <c r="B187" s="9"/>
      <c r="C187" s="9"/>
      <c r="D187" s="9"/>
      <c r="E187" s="9"/>
      <c r="F187" s="9"/>
      <c r="G187" s="9">
        <v>1.0</v>
      </c>
      <c r="H187" s="9"/>
      <c r="I187" s="9"/>
      <c r="J187" s="9">
        <v>1.0</v>
      </c>
      <c r="K187" s="9"/>
      <c r="L187" s="9"/>
      <c r="M187" s="9"/>
      <c r="N187" s="9"/>
      <c r="O187" s="9"/>
      <c r="P187" s="9"/>
      <c r="Q187" s="9"/>
      <c r="R187" s="9"/>
      <c r="S187" s="9"/>
      <c r="T187" s="9"/>
      <c r="U187" s="9"/>
      <c r="V187" s="9"/>
      <c r="W187" s="9"/>
      <c r="X187" s="9"/>
      <c r="Y187" s="9"/>
      <c r="Z187" s="9"/>
    </row>
    <row r="188">
      <c r="A188" s="54">
        <v>45708.689213460646</v>
      </c>
      <c r="B188" s="9"/>
      <c r="C188" s="9"/>
      <c r="D188" s="9"/>
      <c r="E188" s="9"/>
      <c r="F188" s="9"/>
      <c r="G188" s="9">
        <v>1.0</v>
      </c>
      <c r="H188" s="9"/>
      <c r="I188" s="9"/>
      <c r="J188" s="9">
        <v>1.0</v>
      </c>
      <c r="K188" s="9"/>
      <c r="L188" s="9"/>
      <c r="M188" s="9"/>
      <c r="N188" s="9"/>
      <c r="O188" s="9"/>
      <c r="P188" s="9"/>
      <c r="Q188" s="9"/>
      <c r="R188" s="9"/>
      <c r="S188" s="9"/>
      <c r="T188" s="9"/>
      <c r="U188" s="9"/>
      <c r="V188" s="9"/>
      <c r="W188" s="9"/>
      <c r="X188" s="9"/>
      <c r="Y188" s="9"/>
      <c r="Z188" s="9"/>
    </row>
    <row r="189">
      <c r="A189" s="54">
        <v>45709.35263925926</v>
      </c>
      <c r="B189" s="9"/>
      <c r="C189" s="9"/>
      <c r="D189" s="9"/>
      <c r="E189" s="9"/>
      <c r="F189" s="9"/>
      <c r="G189" s="9">
        <v>1.0</v>
      </c>
      <c r="H189" s="9"/>
      <c r="I189" s="9"/>
      <c r="J189" s="9">
        <v>1.0</v>
      </c>
      <c r="K189" s="9"/>
      <c r="L189" s="9"/>
      <c r="M189" s="9"/>
      <c r="N189" s="9"/>
      <c r="O189" s="9"/>
      <c r="P189" s="9"/>
      <c r="Q189" s="9"/>
      <c r="R189" s="9"/>
      <c r="S189" s="9"/>
      <c r="T189" s="9"/>
      <c r="U189" s="9"/>
      <c r="V189" s="9"/>
      <c r="W189" s="9"/>
      <c r="X189" s="9"/>
      <c r="Y189" s="9"/>
      <c r="Z189" s="9"/>
    </row>
    <row r="190">
      <c r="A190" s="54">
        <v>45709.55599434028</v>
      </c>
      <c r="B190" s="9"/>
      <c r="C190" s="9">
        <v>1.0</v>
      </c>
      <c r="D190" s="9"/>
      <c r="E190" s="9"/>
      <c r="F190" s="9"/>
      <c r="G190" s="9"/>
      <c r="H190" s="9"/>
      <c r="I190" s="9"/>
      <c r="J190" s="9">
        <v>1.0</v>
      </c>
      <c r="K190" s="9"/>
      <c r="L190" s="9"/>
      <c r="M190" s="9"/>
      <c r="N190" s="9"/>
      <c r="O190" s="9"/>
      <c r="P190" s="9"/>
      <c r="Q190" s="9"/>
      <c r="R190" s="9"/>
      <c r="S190" s="9"/>
      <c r="T190" s="9"/>
      <c r="U190" s="9"/>
      <c r="V190" s="9"/>
      <c r="W190" s="9"/>
      <c r="X190" s="9"/>
      <c r="Y190" s="9"/>
      <c r="Z190" s="9"/>
    </row>
    <row r="191">
      <c r="A191" s="54">
        <v>45709.566293738426</v>
      </c>
      <c r="B191" s="9"/>
      <c r="C191" s="9">
        <v>1.0</v>
      </c>
      <c r="D191" s="9"/>
      <c r="E191" s="9"/>
      <c r="F191" s="9"/>
      <c r="G191" s="9"/>
      <c r="H191" s="9"/>
      <c r="I191" s="9"/>
      <c r="J191" s="9">
        <v>1.0</v>
      </c>
      <c r="K191" s="9"/>
      <c r="L191" s="9"/>
      <c r="M191" s="9"/>
      <c r="N191" s="9"/>
      <c r="O191" s="9"/>
      <c r="P191" s="9"/>
      <c r="Q191" s="9"/>
      <c r="R191" s="9"/>
      <c r="S191" s="9"/>
      <c r="T191" s="9"/>
      <c r="U191" s="9"/>
      <c r="V191" s="9"/>
      <c r="W191" s="9"/>
      <c r="X191" s="9"/>
      <c r="Y191" s="9"/>
      <c r="Z191" s="9"/>
    </row>
    <row r="192">
      <c r="A192" s="54">
        <v>45709.60855568287</v>
      </c>
      <c r="B192" s="9"/>
      <c r="C192" s="9"/>
      <c r="D192" s="9"/>
      <c r="E192" s="9"/>
      <c r="F192" s="9"/>
      <c r="G192" s="9">
        <v>1.0</v>
      </c>
      <c r="H192" s="9"/>
      <c r="I192" s="9"/>
      <c r="J192" s="9">
        <v>1.0</v>
      </c>
      <c r="K192" s="9"/>
      <c r="L192" s="9"/>
      <c r="M192" s="9"/>
      <c r="N192" s="9"/>
      <c r="O192" s="9"/>
      <c r="P192" s="9"/>
      <c r="Q192" s="9"/>
      <c r="R192" s="9"/>
      <c r="S192" s="9"/>
      <c r="T192" s="9"/>
      <c r="U192" s="9"/>
      <c r="V192" s="9"/>
      <c r="W192" s="9"/>
      <c r="X192" s="9"/>
      <c r="Y192" s="9"/>
      <c r="Z192" s="9"/>
    </row>
    <row r="193">
      <c r="A193" s="54">
        <v>45709.61651289352</v>
      </c>
      <c r="B193" s="9"/>
      <c r="C193" s="9"/>
      <c r="D193" s="9"/>
      <c r="E193" s="9"/>
      <c r="F193" s="9"/>
      <c r="G193" s="9">
        <v>1.0</v>
      </c>
      <c r="H193" s="9"/>
      <c r="I193" s="9"/>
      <c r="J193" s="9">
        <v>1.0</v>
      </c>
      <c r="K193" s="9"/>
      <c r="L193" s="9"/>
      <c r="M193" s="9"/>
      <c r="N193" s="9"/>
      <c r="O193" s="9"/>
      <c r="P193" s="9"/>
      <c r="Q193" s="9"/>
      <c r="R193" s="9"/>
      <c r="S193" s="9"/>
      <c r="T193" s="9"/>
      <c r="U193" s="9"/>
      <c r="V193" s="9"/>
      <c r="W193" s="9"/>
      <c r="X193" s="9"/>
      <c r="Y193" s="9"/>
      <c r="Z193" s="9"/>
    </row>
    <row r="194">
      <c r="A194" s="54">
        <v>45712.460653194445</v>
      </c>
      <c r="B194" s="9"/>
      <c r="C194" s="9"/>
      <c r="D194" s="9"/>
      <c r="E194" s="9"/>
      <c r="F194" s="9"/>
      <c r="G194" s="9">
        <v>1.0</v>
      </c>
      <c r="H194" s="9"/>
      <c r="I194" s="9"/>
      <c r="J194" s="9">
        <v>1.0</v>
      </c>
      <c r="K194" s="9"/>
      <c r="L194" s="9"/>
      <c r="M194" s="9"/>
      <c r="N194" s="9"/>
      <c r="O194" s="9"/>
      <c r="P194" s="9"/>
      <c r="Q194" s="9"/>
      <c r="R194" s="9"/>
      <c r="S194" s="9"/>
      <c r="T194" s="9"/>
      <c r="U194" s="9"/>
      <c r="V194" s="9"/>
      <c r="W194" s="9"/>
      <c r="X194" s="9"/>
      <c r="Y194" s="9"/>
      <c r="Z194" s="9"/>
    </row>
    <row r="195">
      <c r="A195" s="54">
        <v>45712.461988599534</v>
      </c>
      <c r="B195" s="9"/>
      <c r="C195" s="9"/>
      <c r="D195" s="9"/>
      <c r="E195" s="9"/>
      <c r="F195" s="9"/>
      <c r="G195" s="9">
        <v>1.0</v>
      </c>
      <c r="H195" s="9"/>
      <c r="I195" s="9"/>
      <c r="J195" s="9">
        <v>1.0</v>
      </c>
      <c r="K195" s="9"/>
      <c r="L195" s="9"/>
      <c r="M195" s="9"/>
      <c r="N195" s="9"/>
      <c r="O195" s="9"/>
      <c r="P195" s="9"/>
      <c r="Q195" s="9"/>
      <c r="R195" s="9"/>
      <c r="S195" s="9"/>
      <c r="T195" s="9"/>
      <c r="U195" s="9"/>
      <c r="V195" s="9"/>
      <c r="W195" s="9"/>
      <c r="X195" s="9"/>
      <c r="Y195" s="9"/>
      <c r="Z195" s="9"/>
    </row>
    <row r="196">
      <c r="A196" s="54">
        <v>45712.5609170949</v>
      </c>
      <c r="B196" s="9"/>
      <c r="C196" s="9"/>
      <c r="D196" s="9"/>
      <c r="E196" s="9"/>
      <c r="F196" s="9"/>
      <c r="G196" s="9">
        <v>1.0</v>
      </c>
      <c r="H196" s="9"/>
      <c r="I196" s="9"/>
      <c r="J196" s="9">
        <v>1.0</v>
      </c>
      <c r="K196" s="9"/>
      <c r="L196" s="9"/>
      <c r="M196" s="9"/>
      <c r="N196" s="9"/>
      <c r="O196" s="9"/>
      <c r="P196" s="9"/>
      <c r="Q196" s="9"/>
      <c r="R196" s="9"/>
      <c r="S196" s="9"/>
      <c r="T196" s="9"/>
      <c r="U196" s="9"/>
      <c r="V196" s="9"/>
      <c r="W196" s="9"/>
      <c r="X196" s="9"/>
      <c r="Y196" s="9"/>
      <c r="Z196" s="9"/>
    </row>
    <row r="197">
      <c r="A197" s="54">
        <v>45712.823540046295</v>
      </c>
      <c r="B197" s="9"/>
      <c r="C197" s="9"/>
      <c r="D197" s="9"/>
      <c r="E197" s="9"/>
      <c r="F197" s="9"/>
      <c r="G197" s="9">
        <v>1.0</v>
      </c>
      <c r="H197" s="9"/>
      <c r="I197" s="9"/>
      <c r="J197" s="9">
        <v>1.0</v>
      </c>
      <c r="K197" s="9"/>
      <c r="L197" s="9"/>
      <c r="M197" s="9"/>
      <c r="N197" s="9"/>
      <c r="O197" s="9"/>
      <c r="P197" s="9"/>
      <c r="Q197" s="9"/>
      <c r="R197" s="9"/>
      <c r="S197" s="9"/>
      <c r="T197" s="9"/>
      <c r="U197" s="9"/>
      <c r="V197" s="9"/>
      <c r="W197" s="9"/>
      <c r="X197" s="9"/>
      <c r="Y197" s="9"/>
      <c r="Z197" s="9"/>
    </row>
    <row r="198">
      <c r="A198" s="54">
        <v>45716.36283706018</v>
      </c>
      <c r="B198" s="9"/>
      <c r="C198" s="9"/>
      <c r="D198" s="9"/>
      <c r="E198" s="9"/>
      <c r="F198" s="9"/>
      <c r="G198" s="9">
        <v>1.0</v>
      </c>
      <c r="H198" s="9"/>
      <c r="I198" s="9"/>
      <c r="J198" s="9">
        <v>1.0</v>
      </c>
      <c r="K198" s="9"/>
      <c r="L198" s="9"/>
      <c r="M198" s="9"/>
      <c r="N198" s="9"/>
      <c r="O198" s="9"/>
      <c r="P198" s="9"/>
      <c r="Q198" s="9"/>
      <c r="R198" s="9"/>
      <c r="S198" s="9"/>
      <c r="T198" s="9"/>
      <c r="U198" s="9"/>
      <c r="V198" s="9"/>
      <c r="W198" s="9"/>
      <c r="X198" s="9"/>
      <c r="Y198" s="9"/>
      <c r="Z198" s="9"/>
    </row>
    <row r="199">
      <c r="A199" s="54">
        <v>45786.49280892361</v>
      </c>
      <c r="B199" s="9"/>
      <c r="C199" s="9"/>
      <c r="D199" s="9"/>
      <c r="E199" s="9"/>
      <c r="F199" s="9"/>
      <c r="G199" s="9"/>
      <c r="H199" s="9">
        <v>1.0</v>
      </c>
      <c r="I199" s="9"/>
      <c r="J199" s="9">
        <v>1.0</v>
      </c>
      <c r="K199" s="9"/>
      <c r="L199" s="9"/>
      <c r="M199" s="9"/>
      <c r="N199" s="9"/>
      <c r="O199" s="9"/>
      <c r="P199" s="9"/>
      <c r="Q199" s="9"/>
      <c r="R199" s="9"/>
      <c r="S199" s="9"/>
      <c r="T199" s="9"/>
      <c r="U199" s="9"/>
      <c r="V199" s="9"/>
      <c r="W199" s="9"/>
      <c r="X199" s="9"/>
      <c r="Y199" s="9"/>
      <c r="Z199" s="9"/>
    </row>
    <row r="200">
      <c r="A200" s="54">
        <v>45786.53358940972</v>
      </c>
      <c r="B200" s="9"/>
      <c r="C200" s="9"/>
      <c r="D200" s="9"/>
      <c r="E200" s="9"/>
      <c r="F200" s="9"/>
      <c r="G200" s="9"/>
      <c r="H200" s="9">
        <v>1.0</v>
      </c>
      <c r="I200" s="9"/>
      <c r="J200" s="9">
        <v>1.0</v>
      </c>
      <c r="K200" s="9"/>
      <c r="L200" s="9"/>
      <c r="M200" s="9"/>
      <c r="N200" s="9"/>
      <c r="O200" s="9"/>
      <c r="P200" s="9"/>
      <c r="Q200" s="9"/>
      <c r="R200" s="9"/>
      <c r="S200" s="9"/>
      <c r="T200" s="9"/>
      <c r="U200" s="9"/>
      <c r="V200" s="9"/>
      <c r="W200" s="9"/>
      <c r="X200" s="9"/>
      <c r="Y200" s="9"/>
      <c r="Z200" s="9"/>
    </row>
    <row r="201">
      <c r="A201" s="54">
        <v>45791.639826909726</v>
      </c>
      <c r="B201" s="9"/>
      <c r="C201" s="9"/>
      <c r="D201" s="9"/>
      <c r="E201" s="9"/>
      <c r="F201" s="9"/>
      <c r="G201" s="9"/>
      <c r="H201" s="9">
        <v>1.0</v>
      </c>
      <c r="I201" s="9"/>
      <c r="J201" s="9">
        <v>1.0</v>
      </c>
      <c r="K201" s="9"/>
      <c r="L201" s="9"/>
      <c r="M201" s="9"/>
      <c r="N201" s="9"/>
      <c r="O201" s="9"/>
      <c r="P201" s="9"/>
      <c r="Q201" s="9"/>
      <c r="R201" s="9"/>
      <c r="S201" s="9"/>
      <c r="T201" s="9"/>
      <c r="U201" s="9"/>
      <c r="V201" s="9"/>
      <c r="W201" s="9"/>
      <c r="X201" s="9"/>
      <c r="Y201" s="9"/>
      <c r="Z201" s="9"/>
    </row>
    <row r="202">
      <c r="A202" s="54">
        <v>45791.64127771991</v>
      </c>
      <c r="B202" s="9"/>
      <c r="C202" s="9"/>
      <c r="D202" s="9"/>
      <c r="E202" s="9"/>
      <c r="F202" s="9"/>
      <c r="G202" s="9"/>
      <c r="H202" s="9">
        <v>1.0</v>
      </c>
      <c r="I202" s="9"/>
      <c r="J202" s="9">
        <v>1.0</v>
      </c>
      <c r="K202" s="9"/>
      <c r="L202" s="9"/>
      <c r="M202" s="9"/>
      <c r="N202" s="9"/>
      <c r="O202" s="9"/>
      <c r="P202" s="9"/>
      <c r="Q202" s="9"/>
      <c r="R202" s="9"/>
      <c r="S202" s="9"/>
      <c r="T202" s="9"/>
      <c r="U202" s="9"/>
      <c r="V202" s="9"/>
      <c r="W202" s="9"/>
      <c r="X202" s="9"/>
      <c r="Y202" s="9"/>
      <c r="Z202" s="9"/>
    </row>
    <row r="203">
      <c r="A203" s="54">
        <v>45791.642537962965</v>
      </c>
      <c r="B203" s="9"/>
      <c r="C203" s="9"/>
      <c r="D203" s="9"/>
      <c r="E203" s="9"/>
      <c r="F203" s="9"/>
      <c r="G203" s="9"/>
      <c r="H203" s="9">
        <v>1.0</v>
      </c>
      <c r="I203" s="9"/>
      <c r="J203" s="9">
        <v>1.0</v>
      </c>
      <c r="K203" s="9"/>
      <c r="L203" s="9"/>
      <c r="M203" s="9"/>
      <c r="N203" s="9"/>
      <c r="O203" s="9"/>
      <c r="P203" s="9"/>
      <c r="Q203" s="9"/>
      <c r="R203" s="9"/>
      <c r="S203" s="9"/>
      <c r="T203" s="9"/>
      <c r="U203" s="9"/>
      <c r="V203" s="9"/>
      <c r="W203" s="9"/>
      <c r="X203" s="9"/>
      <c r="Y203" s="9"/>
      <c r="Z203" s="9"/>
    </row>
    <row r="204">
      <c r="A204" s="54">
        <v>45791.68495792824</v>
      </c>
      <c r="B204" s="9"/>
      <c r="C204" s="9"/>
      <c r="D204" s="9"/>
      <c r="E204" s="9"/>
      <c r="F204" s="9"/>
      <c r="G204" s="9"/>
      <c r="H204" s="9">
        <v>1.0</v>
      </c>
      <c r="I204" s="9"/>
      <c r="J204" s="9">
        <v>1.0</v>
      </c>
      <c r="K204" s="9"/>
      <c r="L204" s="9"/>
      <c r="M204" s="9"/>
      <c r="N204" s="9"/>
      <c r="O204" s="9"/>
      <c r="P204" s="9"/>
      <c r="Q204" s="9"/>
      <c r="R204" s="9"/>
      <c r="S204" s="9"/>
      <c r="T204" s="9"/>
      <c r="U204" s="9"/>
      <c r="V204" s="9"/>
      <c r="W204" s="9"/>
      <c r="X204" s="9"/>
      <c r="Y204" s="9"/>
      <c r="Z204" s="9"/>
    </row>
    <row r="205">
      <c r="A205" s="54">
        <v>45791.68628671297</v>
      </c>
      <c r="B205" s="9"/>
      <c r="C205" s="9"/>
      <c r="D205" s="9"/>
      <c r="E205" s="9"/>
      <c r="F205" s="9"/>
      <c r="G205" s="9"/>
      <c r="H205" s="9">
        <v>1.0</v>
      </c>
      <c r="I205" s="9"/>
      <c r="J205" s="9">
        <v>1.0</v>
      </c>
      <c r="K205" s="9"/>
      <c r="L205" s="9"/>
      <c r="M205" s="9"/>
      <c r="N205" s="9"/>
      <c r="O205" s="9"/>
      <c r="P205" s="9"/>
      <c r="Q205" s="9"/>
      <c r="R205" s="9"/>
      <c r="S205" s="9"/>
      <c r="T205" s="9"/>
      <c r="U205" s="9"/>
      <c r="V205" s="9"/>
      <c r="W205" s="9"/>
      <c r="X205" s="9"/>
      <c r="Y205" s="9"/>
      <c r="Z205" s="9"/>
    </row>
    <row r="206">
      <c r="A206" s="54">
        <v>45791.68871412037</v>
      </c>
      <c r="B206" s="9"/>
      <c r="C206" s="9"/>
      <c r="D206" s="9"/>
      <c r="E206" s="9"/>
      <c r="F206" s="9"/>
      <c r="G206" s="9"/>
      <c r="H206" s="9">
        <v>1.0</v>
      </c>
      <c r="I206" s="9"/>
      <c r="J206" s="9">
        <v>1.0</v>
      </c>
      <c r="K206" s="9"/>
      <c r="L206" s="9"/>
      <c r="M206" s="9"/>
      <c r="N206" s="9"/>
      <c r="O206" s="9"/>
      <c r="P206" s="9"/>
      <c r="Q206" s="9"/>
      <c r="R206" s="9"/>
      <c r="S206" s="9"/>
      <c r="T206" s="9"/>
      <c r="U206" s="9"/>
      <c r="V206" s="9"/>
      <c r="W206" s="9"/>
      <c r="X206" s="9"/>
      <c r="Y206" s="9"/>
      <c r="Z206" s="9"/>
    </row>
    <row r="207">
      <c r="A207" s="54">
        <v>45792.415661747684</v>
      </c>
      <c r="B207" s="9"/>
      <c r="C207" s="9"/>
      <c r="D207" s="9"/>
      <c r="E207" s="9"/>
      <c r="F207" s="9"/>
      <c r="G207" s="9"/>
      <c r="H207" s="9">
        <v>1.0</v>
      </c>
      <c r="I207" s="9"/>
      <c r="J207" s="9">
        <v>1.0</v>
      </c>
      <c r="K207" s="9"/>
      <c r="L207" s="9"/>
      <c r="M207" s="9"/>
      <c r="N207" s="9"/>
      <c r="O207" s="9"/>
      <c r="P207" s="9"/>
      <c r="Q207" s="9"/>
      <c r="R207" s="9"/>
      <c r="S207" s="9"/>
      <c r="T207" s="9"/>
      <c r="U207" s="9"/>
      <c r="V207" s="9"/>
      <c r="W207" s="9"/>
      <c r="X207" s="9"/>
      <c r="Y207" s="9"/>
      <c r="Z207" s="9"/>
    </row>
    <row r="208">
      <c r="A208" s="54">
        <v>45793.45582166666</v>
      </c>
      <c r="B208" s="9"/>
      <c r="C208" s="9"/>
      <c r="D208" s="9"/>
      <c r="E208" s="9"/>
      <c r="F208" s="9"/>
      <c r="G208" s="9"/>
      <c r="H208" s="9">
        <v>1.0</v>
      </c>
      <c r="I208" s="9"/>
      <c r="J208" s="9">
        <v>1.0</v>
      </c>
      <c r="K208" s="9"/>
      <c r="L208" s="9"/>
      <c r="M208" s="9"/>
      <c r="N208" s="9"/>
      <c r="O208" s="9"/>
      <c r="P208" s="9"/>
      <c r="Q208" s="9"/>
      <c r="R208" s="9"/>
      <c r="S208" s="9"/>
      <c r="T208" s="9"/>
      <c r="U208" s="9"/>
      <c r="V208" s="9"/>
      <c r="W208" s="9"/>
      <c r="X208" s="9"/>
      <c r="Y208" s="9"/>
      <c r="Z208" s="9"/>
    </row>
    <row r="209">
      <c r="A209" s="54">
        <v>45793.59517394676</v>
      </c>
      <c r="B209" s="9"/>
      <c r="C209" s="9"/>
      <c r="D209" s="9"/>
      <c r="E209" s="9"/>
      <c r="F209" s="9"/>
      <c r="G209" s="9"/>
      <c r="H209" s="9">
        <v>1.0</v>
      </c>
      <c r="I209" s="9"/>
      <c r="J209" s="9">
        <v>1.0</v>
      </c>
      <c r="K209" s="9"/>
      <c r="L209" s="9"/>
      <c r="M209" s="9"/>
      <c r="N209" s="9"/>
      <c r="O209" s="9"/>
      <c r="P209" s="9"/>
      <c r="Q209" s="9"/>
      <c r="R209" s="9"/>
      <c r="S209" s="9"/>
      <c r="T209" s="9"/>
      <c r="U209" s="9"/>
      <c r="V209" s="9"/>
      <c r="W209" s="9"/>
      <c r="X209" s="9"/>
      <c r="Y209" s="9"/>
      <c r="Z209" s="9"/>
    </row>
    <row r="210">
      <c r="A210" s="54">
        <v>45793.780311967595</v>
      </c>
      <c r="B210" s="9"/>
      <c r="C210" s="9"/>
      <c r="D210" s="9"/>
      <c r="E210" s="9"/>
      <c r="F210" s="9"/>
      <c r="G210" s="9"/>
      <c r="H210" s="9">
        <v>1.0</v>
      </c>
      <c r="I210" s="9"/>
      <c r="J210" s="9">
        <v>1.0</v>
      </c>
      <c r="K210" s="9"/>
      <c r="L210" s="9"/>
      <c r="M210" s="9"/>
      <c r="N210" s="9"/>
      <c r="O210" s="9"/>
      <c r="P210" s="9"/>
      <c r="Q210" s="9"/>
      <c r="R210" s="9"/>
      <c r="S210" s="9"/>
      <c r="T210" s="9"/>
      <c r="U210" s="9"/>
      <c r="V210" s="9"/>
      <c r="W210" s="9"/>
      <c r="X210" s="9"/>
      <c r="Y210" s="9"/>
      <c r="Z210" s="9"/>
    </row>
    <row r="211">
      <c r="A211" s="54">
        <v>45796.44756863426</v>
      </c>
      <c r="B211" s="9"/>
      <c r="C211" s="9"/>
      <c r="D211" s="9"/>
      <c r="E211" s="9"/>
      <c r="F211" s="9"/>
      <c r="G211" s="9"/>
      <c r="H211" s="9">
        <v>1.0</v>
      </c>
      <c r="I211" s="9"/>
      <c r="J211" s="9">
        <v>1.0</v>
      </c>
      <c r="K211" s="9"/>
      <c r="L211" s="9"/>
      <c r="M211" s="9"/>
      <c r="N211" s="9"/>
      <c r="O211" s="9"/>
      <c r="P211" s="9"/>
      <c r="Q211" s="9"/>
      <c r="R211" s="9"/>
      <c r="S211" s="9"/>
      <c r="T211" s="9"/>
      <c r="U211" s="9"/>
      <c r="V211" s="9"/>
      <c r="W211" s="9"/>
      <c r="X211" s="9"/>
      <c r="Y211" s="9"/>
      <c r="Z211" s="9"/>
    </row>
    <row r="212">
      <c r="A212" s="54">
        <v>45796.47522253472</v>
      </c>
      <c r="B212" s="9"/>
      <c r="C212" s="9"/>
      <c r="D212" s="9"/>
      <c r="E212" s="9"/>
      <c r="F212" s="9"/>
      <c r="G212" s="9"/>
      <c r="H212" s="9">
        <v>1.0</v>
      </c>
      <c r="I212" s="9"/>
      <c r="J212" s="9">
        <v>1.0</v>
      </c>
      <c r="K212" s="9"/>
      <c r="L212" s="9"/>
      <c r="M212" s="9"/>
      <c r="N212" s="9"/>
      <c r="O212" s="9"/>
      <c r="P212" s="9"/>
      <c r="Q212" s="9"/>
      <c r="R212" s="9"/>
      <c r="S212" s="9"/>
      <c r="T212" s="9"/>
      <c r="U212" s="9"/>
      <c r="V212" s="9"/>
      <c r="W212" s="9"/>
      <c r="X212" s="9"/>
      <c r="Y212" s="9"/>
      <c r="Z212" s="9"/>
    </row>
    <row r="213">
      <c r="A213" s="54">
        <v>45796.47784037037</v>
      </c>
      <c r="B213" s="9"/>
      <c r="C213" s="9"/>
      <c r="D213" s="9"/>
      <c r="E213" s="9"/>
      <c r="F213" s="9"/>
      <c r="G213" s="9"/>
      <c r="H213" s="9">
        <v>1.0</v>
      </c>
      <c r="I213" s="9"/>
      <c r="J213" s="9">
        <v>1.0</v>
      </c>
      <c r="K213" s="9"/>
      <c r="L213" s="9"/>
      <c r="M213" s="9"/>
      <c r="N213" s="9"/>
      <c r="O213" s="9"/>
      <c r="P213" s="9"/>
      <c r="Q213" s="9"/>
      <c r="R213" s="9"/>
      <c r="S213" s="9"/>
      <c r="T213" s="9"/>
      <c r="U213" s="9"/>
      <c r="V213" s="9"/>
      <c r="W213" s="9"/>
      <c r="X213" s="9"/>
      <c r="Y213" s="9"/>
      <c r="Z213" s="9"/>
    </row>
    <row r="214">
      <c r="A214" s="54">
        <v>45796.47817510417</v>
      </c>
      <c r="B214" s="9"/>
      <c r="C214" s="9"/>
      <c r="D214" s="9"/>
      <c r="E214" s="9"/>
      <c r="F214" s="9"/>
      <c r="G214" s="9"/>
      <c r="H214" s="9">
        <v>1.0</v>
      </c>
      <c r="I214" s="9"/>
      <c r="J214" s="9">
        <v>1.0</v>
      </c>
      <c r="K214" s="9"/>
      <c r="L214" s="9"/>
      <c r="M214" s="9"/>
      <c r="N214" s="9"/>
      <c r="O214" s="9"/>
      <c r="P214" s="9"/>
      <c r="Q214" s="9"/>
      <c r="R214" s="9"/>
      <c r="S214" s="9"/>
      <c r="T214" s="9"/>
      <c r="U214" s="9"/>
      <c r="V214" s="9"/>
      <c r="W214" s="9"/>
      <c r="X214" s="9"/>
      <c r="Y214" s="9"/>
      <c r="Z214" s="9"/>
    </row>
    <row r="215">
      <c r="A215" s="54">
        <v>45796.48115402777</v>
      </c>
      <c r="B215" s="9"/>
      <c r="C215" s="9"/>
      <c r="D215" s="9"/>
      <c r="E215" s="9"/>
      <c r="F215" s="9"/>
      <c r="G215" s="9"/>
      <c r="H215" s="9">
        <v>1.0</v>
      </c>
      <c r="I215" s="9"/>
      <c r="J215" s="9">
        <v>1.0</v>
      </c>
      <c r="K215" s="9"/>
      <c r="L215" s="9"/>
      <c r="M215" s="9"/>
      <c r="N215" s="9"/>
      <c r="O215" s="9"/>
      <c r="P215" s="9"/>
      <c r="Q215" s="9"/>
      <c r="R215" s="9"/>
      <c r="S215" s="9"/>
      <c r="T215" s="9"/>
      <c r="U215" s="9"/>
      <c r="V215" s="9"/>
      <c r="W215" s="9"/>
      <c r="X215" s="9"/>
      <c r="Y215" s="9"/>
      <c r="Z215" s="9"/>
    </row>
    <row r="216">
      <c r="A216" s="54">
        <v>45796.49801657407</v>
      </c>
      <c r="B216" s="9"/>
      <c r="C216" s="9"/>
      <c r="D216" s="9"/>
      <c r="E216" s="9"/>
      <c r="F216" s="9"/>
      <c r="G216" s="9"/>
      <c r="H216" s="9">
        <v>1.0</v>
      </c>
      <c r="I216" s="9"/>
      <c r="J216" s="9">
        <v>1.0</v>
      </c>
      <c r="K216" s="9"/>
      <c r="L216" s="9"/>
      <c r="M216" s="9"/>
      <c r="N216" s="9"/>
      <c r="O216" s="9"/>
      <c r="P216" s="9"/>
      <c r="Q216" s="9"/>
      <c r="R216" s="9"/>
      <c r="S216" s="9"/>
      <c r="T216" s="9"/>
      <c r="U216" s="9"/>
      <c r="V216" s="9"/>
      <c r="W216" s="9"/>
      <c r="X216" s="9"/>
      <c r="Y216" s="9"/>
      <c r="Z216" s="9"/>
    </row>
    <row r="217">
      <c r="A217" s="54">
        <v>45796.54450903935</v>
      </c>
      <c r="B217" s="9"/>
      <c r="C217" s="9"/>
      <c r="D217" s="9"/>
      <c r="E217" s="9"/>
      <c r="F217" s="9"/>
      <c r="G217" s="9"/>
      <c r="H217" s="9">
        <v>1.0</v>
      </c>
      <c r="I217" s="9"/>
      <c r="J217" s="9">
        <v>1.0</v>
      </c>
      <c r="K217" s="9"/>
      <c r="L217" s="9"/>
      <c r="M217" s="9"/>
      <c r="N217" s="9"/>
      <c r="O217" s="9"/>
      <c r="P217" s="9"/>
      <c r="Q217" s="9"/>
      <c r="R217" s="9"/>
      <c r="S217" s="9"/>
      <c r="T217" s="9"/>
      <c r="U217" s="9"/>
      <c r="V217" s="9"/>
      <c r="W217" s="9"/>
      <c r="X217" s="9"/>
      <c r="Y217" s="9"/>
      <c r="Z217" s="9"/>
    </row>
    <row r="218">
      <c r="A218" s="54">
        <v>45796.54659201389</v>
      </c>
      <c r="B218" s="9"/>
      <c r="C218" s="9"/>
      <c r="D218" s="9"/>
      <c r="E218" s="9"/>
      <c r="F218" s="9"/>
      <c r="G218" s="9"/>
      <c r="H218" s="9">
        <v>1.0</v>
      </c>
      <c r="I218" s="9"/>
      <c r="J218" s="9">
        <v>1.0</v>
      </c>
      <c r="K218" s="9"/>
      <c r="L218" s="9"/>
      <c r="M218" s="9"/>
      <c r="N218" s="9"/>
      <c r="O218" s="9"/>
      <c r="P218" s="9"/>
      <c r="Q218" s="9"/>
      <c r="R218" s="9"/>
      <c r="S218" s="9"/>
      <c r="T218" s="9"/>
      <c r="U218" s="9"/>
      <c r="V218" s="9"/>
      <c r="W218" s="9"/>
      <c r="X218" s="9"/>
      <c r="Y218" s="9"/>
      <c r="Z218" s="9"/>
    </row>
    <row r="219">
      <c r="A219" s="54">
        <v>45796.5480784838</v>
      </c>
      <c r="B219" s="9"/>
      <c r="C219" s="9"/>
      <c r="D219" s="9"/>
      <c r="E219" s="9"/>
      <c r="F219" s="9"/>
      <c r="G219" s="9"/>
      <c r="H219" s="9">
        <v>1.0</v>
      </c>
      <c r="I219" s="9"/>
      <c r="J219" s="9">
        <v>1.0</v>
      </c>
      <c r="K219" s="9"/>
      <c r="L219" s="9"/>
      <c r="M219" s="9"/>
      <c r="N219" s="9"/>
      <c r="O219" s="9"/>
      <c r="P219" s="9"/>
      <c r="Q219" s="9"/>
      <c r="R219" s="9"/>
      <c r="S219" s="9"/>
      <c r="T219" s="9"/>
      <c r="U219" s="9"/>
      <c r="V219" s="9"/>
      <c r="W219" s="9"/>
      <c r="X219" s="9"/>
      <c r="Y219" s="9"/>
      <c r="Z219" s="9"/>
    </row>
    <row r="220">
      <c r="A220" s="54">
        <v>45796.88433586806</v>
      </c>
      <c r="B220" s="9"/>
      <c r="C220" s="9"/>
      <c r="D220" s="9"/>
      <c r="E220" s="9"/>
      <c r="F220" s="9"/>
      <c r="G220" s="9"/>
      <c r="H220" s="9">
        <v>1.0</v>
      </c>
      <c r="I220" s="9"/>
      <c r="J220" s="9">
        <v>1.0</v>
      </c>
      <c r="K220" s="9"/>
      <c r="L220" s="9"/>
      <c r="M220" s="9"/>
      <c r="N220" s="9"/>
      <c r="O220" s="9"/>
      <c r="P220" s="9"/>
      <c r="Q220" s="9"/>
      <c r="R220" s="9"/>
      <c r="S220" s="9"/>
      <c r="T220" s="9"/>
      <c r="U220" s="9"/>
      <c r="V220" s="9"/>
      <c r="W220" s="9"/>
      <c r="X220" s="9"/>
      <c r="Y220" s="9"/>
      <c r="Z220" s="9"/>
    </row>
    <row r="221">
      <c r="A221" s="54">
        <v>45797.37548898148</v>
      </c>
      <c r="B221" s="9"/>
      <c r="C221" s="9"/>
      <c r="D221" s="9"/>
      <c r="E221" s="9"/>
      <c r="F221" s="9"/>
      <c r="G221" s="9"/>
      <c r="H221" s="9">
        <v>1.0</v>
      </c>
      <c r="I221" s="9"/>
      <c r="J221" s="9">
        <v>1.0</v>
      </c>
      <c r="K221" s="9"/>
      <c r="L221" s="9"/>
      <c r="M221" s="9"/>
      <c r="N221" s="9"/>
      <c r="O221" s="9"/>
      <c r="P221" s="9"/>
      <c r="Q221" s="9"/>
      <c r="R221" s="9"/>
      <c r="S221" s="9"/>
      <c r="T221" s="9"/>
      <c r="U221" s="9"/>
      <c r="V221" s="9"/>
      <c r="W221" s="9"/>
      <c r="X221" s="9"/>
      <c r="Y221" s="9"/>
      <c r="Z221" s="9"/>
    </row>
    <row r="222">
      <c r="A222" s="54">
        <v>45797.37862430555</v>
      </c>
      <c r="B222" s="9"/>
      <c r="C222" s="9"/>
      <c r="D222" s="9"/>
      <c r="E222" s="9"/>
      <c r="F222" s="9"/>
      <c r="G222" s="9"/>
      <c r="H222" s="9">
        <v>1.0</v>
      </c>
      <c r="I222" s="9"/>
      <c r="J222" s="9">
        <v>1.0</v>
      </c>
      <c r="K222" s="9"/>
      <c r="L222" s="9"/>
      <c r="M222" s="9"/>
      <c r="N222" s="9"/>
      <c r="O222" s="9"/>
      <c r="P222" s="9"/>
      <c r="Q222" s="9"/>
      <c r="R222" s="9"/>
      <c r="S222" s="9"/>
      <c r="T222" s="9"/>
      <c r="U222" s="9"/>
      <c r="V222" s="9"/>
      <c r="W222" s="9"/>
      <c r="X222" s="9"/>
      <c r="Y222" s="9"/>
      <c r="Z222" s="9"/>
    </row>
    <row r="223">
      <c r="A223" s="54">
        <v>45797.41216172454</v>
      </c>
      <c r="B223" s="9"/>
      <c r="C223" s="9"/>
      <c r="D223" s="9"/>
      <c r="E223" s="9"/>
      <c r="F223" s="9"/>
      <c r="G223" s="9"/>
      <c r="H223" s="9">
        <v>1.0</v>
      </c>
      <c r="I223" s="9"/>
      <c r="J223" s="9">
        <v>1.0</v>
      </c>
      <c r="K223" s="9"/>
      <c r="L223" s="9"/>
      <c r="M223" s="9"/>
      <c r="N223" s="9"/>
      <c r="O223" s="9"/>
      <c r="P223" s="9"/>
      <c r="Q223" s="9"/>
      <c r="R223" s="9"/>
      <c r="S223" s="9"/>
      <c r="T223" s="9"/>
      <c r="U223" s="9"/>
      <c r="V223" s="9"/>
      <c r="W223" s="9"/>
      <c r="X223" s="9"/>
      <c r="Y223" s="9"/>
      <c r="Z223" s="9"/>
    </row>
    <row r="224">
      <c r="A224" s="54">
        <v>45797.4190465625</v>
      </c>
      <c r="B224" s="9"/>
      <c r="C224" s="9"/>
      <c r="D224" s="9"/>
      <c r="E224" s="9"/>
      <c r="F224" s="9"/>
      <c r="G224" s="9"/>
      <c r="H224" s="9">
        <v>1.0</v>
      </c>
      <c r="I224" s="9"/>
      <c r="J224" s="9">
        <v>1.0</v>
      </c>
      <c r="K224" s="9"/>
      <c r="L224" s="9"/>
      <c r="M224" s="9"/>
      <c r="N224" s="9"/>
      <c r="O224" s="9"/>
      <c r="P224" s="9"/>
      <c r="Q224" s="9"/>
      <c r="R224" s="9"/>
      <c r="S224" s="9"/>
      <c r="T224" s="9"/>
      <c r="U224" s="9"/>
      <c r="V224" s="9"/>
      <c r="W224" s="9"/>
      <c r="X224" s="9"/>
      <c r="Y224" s="9"/>
      <c r="Z224" s="9"/>
    </row>
    <row r="225">
      <c r="A225" s="54">
        <v>45797.41935099537</v>
      </c>
      <c r="B225" s="9"/>
      <c r="C225" s="9"/>
      <c r="D225" s="9"/>
      <c r="E225" s="9"/>
      <c r="F225" s="9"/>
      <c r="G225" s="9"/>
      <c r="H225" s="9">
        <v>1.0</v>
      </c>
      <c r="I225" s="9"/>
      <c r="J225" s="9">
        <v>1.0</v>
      </c>
      <c r="K225" s="9"/>
      <c r="L225" s="9"/>
      <c r="M225" s="9"/>
      <c r="N225" s="9"/>
      <c r="O225" s="9"/>
      <c r="P225" s="9"/>
      <c r="Q225" s="9"/>
      <c r="R225" s="9"/>
      <c r="S225" s="9"/>
      <c r="T225" s="9"/>
      <c r="U225" s="9"/>
      <c r="V225" s="9"/>
      <c r="W225" s="9"/>
      <c r="X225" s="9"/>
      <c r="Y225" s="9"/>
      <c r="Z225" s="9"/>
    </row>
    <row r="226">
      <c r="A226" s="54">
        <v>45797.42211324074</v>
      </c>
      <c r="B226" s="9"/>
      <c r="C226" s="9"/>
      <c r="D226" s="9"/>
      <c r="E226" s="9"/>
      <c r="F226" s="9"/>
      <c r="G226" s="9"/>
      <c r="H226" s="9">
        <v>1.0</v>
      </c>
      <c r="I226" s="9"/>
      <c r="J226" s="9">
        <v>1.0</v>
      </c>
      <c r="K226" s="9"/>
      <c r="L226" s="9"/>
      <c r="M226" s="9"/>
      <c r="N226" s="9"/>
      <c r="O226" s="9"/>
      <c r="P226" s="9"/>
      <c r="Q226" s="9"/>
      <c r="R226" s="9"/>
      <c r="S226" s="9"/>
      <c r="T226" s="9"/>
      <c r="U226" s="9"/>
      <c r="V226" s="9"/>
      <c r="W226" s="9"/>
      <c r="X226" s="9"/>
      <c r="Y226" s="9"/>
      <c r="Z226" s="9"/>
    </row>
    <row r="227">
      <c r="A227" s="54">
        <v>45797.428694155096</v>
      </c>
      <c r="B227" s="9"/>
      <c r="C227" s="9"/>
      <c r="D227" s="9"/>
      <c r="E227" s="9"/>
      <c r="F227" s="9"/>
      <c r="G227" s="9"/>
      <c r="H227" s="9">
        <v>1.0</v>
      </c>
      <c r="I227" s="9"/>
      <c r="J227" s="9">
        <v>1.0</v>
      </c>
      <c r="K227" s="9"/>
      <c r="L227" s="9"/>
      <c r="M227" s="9"/>
      <c r="N227" s="9"/>
      <c r="O227" s="9"/>
      <c r="P227" s="9"/>
      <c r="Q227" s="9"/>
      <c r="R227" s="9"/>
      <c r="S227" s="9"/>
      <c r="T227" s="9"/>
      <c r="U227" s="9"/>
      <c r="V227" s="9"/>
      <c r="W227" s="9"/>
      <c r="X227" s="9"/>
      <c r="Y227" s="9"/>
      <c r="Z227" s="9"/>
    </row>
    <row r="228">
      <c r="A228" s="54">
        <v>45797.44163366898</v>
      </c>
      <c r="B228" s="9"/>
      <c r="C228" s="9"/>
      <c r="D228" s="9"/>
      <c r="E228" s="9"/>
      <c r="F228" s="9"/>
      <c r="G228" s="9"/>
      <c r="H228" s="9">
        <v>1.0</v>
      </c>
      <c r="I228" s="9"/>
      <c r="J228" s="9">
        <v>1.0</v>
      </c>
      <c r="K228" s="9"/>
      <c r="L228" s="9"/>
      <c r="M228" s="9"/>
      <c r="N228" s="9"/>
      <c r="O228" s="9"/>
      <c r="P228" s="9"/>
      <c r="Q228" s="9"/>
      <c r="R228" s="9"/>
      <c r="S228" s="9"/>
      <c r="T228" s="9"/>
      <c r="U228" s="9"/>
      <c r="V228" s="9"/>
      <c r="W228" s="9"/>
      <c r="X228" s="9"/>
      <c r="Y228" s="9"/>
      <c r="Z228" s="9"/>
    </row>
    <row r="229">
      <c r="A229" s="54">
        <v>45797.45723876158</v>
      </c>
      <c r="B229" s="9"/>
      <c r="C229" s="9"/>
      <c r="D229" s="9"/>
      <c r="E229" s="9"/>
      <c r="F229" s="9"/>
      <c r="G229" s="9"/>
      <c r="H229" s="9">
        <v>1.0</v>
      </c>
      <c r="I229" s="9"/>
      <c r="J229" s="9">
        <v>1.0</v>
      </c>
      <c r="K229" s="9"/>
      <c r="L229" s="9"/>
      <c r="M229" s="9"/>
      <c r="N229" s="9"/>
      <c r="O229" s="9"/>
      <c r="P229" s="9"/>
      <c r="Q229" s="9"/>
      <c r="R229" s="9"/>
      <c r="S229" s="9"/>
      <c r="T229" s="9"/>
      <c r="U229" s="9"/>
      <c r="V229" s="9"/>
      <c r="W229" s="9"/>
      <c r="X229" s="9"/>
      <c r="Y229" s="9"/>
      <c r="Z229" s="9"/>
    </row>
    <row r="230">
      <c r="A230" s="54">
        <v>45797.46476415509</v>
      </c>
      <c r="B230" s="9"/>
      <c r="C230" s="9"/>
      <c r="D230" s="9"/>
      <c r="E230" s="9"/>
      <c r="F230" s="9"/>
      <c r="G230" s="9"/>
      <c r="H230" s="9">
        <v>1.0</v>
      </c>
      <c r="I230" s="9"/>
      <c r="J230" s="9">
        <v>1.0</v>
      </c>
      <c r="K230" s="9"/>
      <c r="L230" s="9"/>
      <c r="M230" s="9"/>
      <c r="N230" s="9"/>
      <c r="O230" s="9"/>
      <c r="P230" s="9"/>
      <c r="Q230" s="9"/>
      <c r="R230" s="9"/>
      <c r="S230" s="9"/>
      <c r="T230" s="9"/>
      <c r="U230" s="9"/>
      <c r="V230" s="9"/>
      <c r="W230" s="9"/>
      <c r="X230" s="9"/>
      <c r="Y230" s="9"/>
      <c r="Z230" s="9"/>
    </row>
    <row r="231">
      <c r="A231" s="54">
        <v>45797.46634206019</v>
      </c>
      <c r="B231" s="9"/>
      <c r="C231" s="9"/>
      <c r="D231" s="9"/>
      <c r="E231" s="9"/>
      <c r="F231" s="9"/>
      <c r="G231" s="9"/>
      <c r="H231" s="9">
        <v>1.0</v>
      </c>
      <c r="I231" s="9"/>
      <c r="J231" s="9">
        <v>1.0</v>
      </c>
      <c r="K231" s="9"/>
      <c r="L231" s="9"/>
      <c r="M231" s="9"/>
      <c r="N231" s="9"/>
      <c r="O231" s="9"/>
      <c r="P231" s="9"/>
      <c r="Q231" s="9"/>
      <c r="R231" s="9"/>
      <c r="S231" s="9"/>
      <c r="T231" s="9"/>
      <c r="U231" s="9"/>
      <c r="V231" s="9"/>
      <c r="W231" s="9"/>
      <c r="X231" s="9"/>
      <c r="Y231" s="9"/>
      <c r="Z231" s="9"/>
    </row>
    <row r="232">
      <c r="A232" s="54">
        <v>45797.46789707176</v>
      </c>
      <c r="B232" s="9"/>
      <c r="C232" s="9"/>
      <c r="D232" s="9"/>
      <c r="E232" s="9"/>
      <c r="F232" s="9"/>
      <c r="G232" s="9"/>
      <c r="H232" s="9">
        <v>1.0</v>
      </c>
      <c r="I232" s="9"/>
      <c r="J232" s="9">
        <v>1.0</v>
      </c>
      <c r="K232" s="9"/>
      <c r="L232" s="9"/>
      <c r="M232" s="9"/>
      <c r="N232" s="9"/>
      <c r="O232" s="9"/>
      <c r="P232" s="9"/>
      <c r="Q232" s="9"/>
      <c r="R232" s="9"/>
      <c r="S232" s="9"/>
      <c r="T232" s="9"/>
      <c r="U232" s="9"/>
      <c r="V232" s="9"/>
      <c r="W232" s="9"/>
      <c r="X232" s="9"/>
      <c r="Y232" s="9"/>
      <c r="Z232" s="9"/>
    </row>
    <row r="233">
      <c r="A233" s="54">
        <v>45797.529226203704</v>
      </c>
      <c r="B233" s="9"/>
      <c r="C233" s="9"/>
      <c r="D233" s="9"/>
      <c r="E233" s="9"/>
      <c r="F233" s="9"/>
      <c r="G233" s="9"/>
      <c r="H233" s="9">
        <v>1.0</v>
      </c>
      <c r="I233" s="9"/>
      <c r="J233" s="9">
        <v>1.0</v>
      </c>
      <c r="K233" s="9"/>
      <c r="L233" s="9"/>
      <c r="M233" s="9"/>
      <c r="N233" s="9"/>
      <c r="O233" s="9"/>
      <c r="P233" s="9"/>
      <c r="Q233" s="9"/>
      <c r="R233" s="9"/>
      <c r="S233" s="9"/>
      <c r="T233" s="9"/>
      <c r="U233" s="9"/>
      <c r="V233" s="9"/>
      <c r="W233" s="9"/>
      <c r="X233" s="9"/>
      <c r="Y233" s="9"/>
      <c r="Z233" s="9"/>
    </row>
    <row r="234">
      <c r="A234" s="54">
        <v>45797.53043917824</v>
      </c>
      <c r="B234" s="9"/>
      <c r="C234" s="9"/>
      <c r="D234" s="9"/>
      <c r="E234" s="9"/>
      <c r="F234" s="9"/>
      <c r="G234" s="9"/>
      <c r="H234" s="9">
        <v>1.0</v>
      </c>
      <c r="I234" s="9"/>
      <c r="J234" s="9">
        <v>1.0</v>
      </c>
      <c r="K234" s="9"/>
      <c r="L234" s="9"/>
      <c r="M234" s="9"/>
      <c r="N234" s="9"/>
      <c r="O234" s="9"/>
      <c r="P234" s="9"/>
      <c r="Q234" s="9"/>
      <c r="R234" s="9"/>
      <c r="S234" s="9"/>
      <c r="T234" s="9"/>
      <c r="U234" s="9"/>
      <c r="V234" s="9"/>
      <c r="W234" s="9"/>
      <c r="X234" s="9"/>
      <c r="Y234" s="9"/>
      <c r="Z234" s="9"/>
    </row>
    <row r="235">
      <c r="A235" s="54">
        <v>45797.531797013886</v>
      </c>
      <c r="B235" s="9"/>
      <c r="C235" s="9"/>
      <c r="D235" s="9"/>
      <c r="E235" s="9"/>
      <c r="F235" s="9"/>
      <c r="G235" s="9"/>
      <c r="H235" s="9">
        <v>1.0</v>
      </c>
      <c r="I235" s="9"/>
      <c r="J235" s="9">
        <v>1.0</v>
      </c>
      <c r="K235" s="9"/>
      <c r="L235" s="9"/>
      <c r="M235" s="9"/>
      <c r="N235" s="9"/>
      <c r="O235" s="9"/>
      <c r="P235" s="9"/>
      <c r="Q235" s="9"/>
      <c r="R235" s="9"/>
      <c r="S235" s="9"/>
      <c r="T235" s="9"/>
      <c r="U235" s="9"/>
      <c r="V235" s="9"/>
      <c r="W235" s="9"/>
      <c r="X235" s="9"/>
      <c r="Y235" s="9"/>
      <c r="Z235" s="9"/>
    </row>
    <row r="236">
      <c r="A236" s="54">
        <v>45797.53295094907</v>
      </c>
      <c r="B236" s="9"/>
      <c r="C236" s="9"/>
      <c r="D236" s="9"/>
      <c r="E236" s="9"/>
      <c r="F236" s="9"/>
      <c r="G236" s="9"/>
      <c r="H236" s="9">
        <v>1.0</v>
      </c>
      <c r="I236" s="9"/>
      <c r="J236" s="9">
        <v>1.0</v>
      </c>
      <c r="K236" s="9"/>
      <c r="L236" s="9"/>
      <c r="M236" s="9"/>
      <c r="N236" s="9"/>
      <c r="O236" s="9"/>
      <c r="P236" s="9"/>
      <c r="Q236" s="9"/>
      <c r="R236" s="9"/>
      <c r="S236" s="9"/>
      <c r="T236" s="9"/>
      <c r="U236" s="9"/>
      <c r="V236" s="9"/>
      <c r="W236" s="9"/>
      <c r="X236" s="9"/>
      <c r="Y236" s="9"/>
      <c r="Z236" s="9"/>
    </row>
    <row r="237">
      <c r="A237" s="54">
        <v>45797.5863919213</v>
      </c>
      <c r="B237" s="9"/>
      <c r="C237" s="9"/>
      <c r="D237" s="9"/>
      <c r="E237" s="9"/>
      <c r="F237" s="9"/>
      <c r="G237" s="9"/>
      <c r="H237" s="9">
        <v>1.0</v>
      </c>
      <c r="I237" s="9"/>
      <c r="J237" s="9">
        <v>1.0</v>
      </c>
      <c r="K237" s="9"/>
      <c r="L237" s="9"/>
      <c r="M237" s="9"/>
      <c r="N237" s="9"/>
      <c r="O237" s="9"/>
      <c r="P237" s="9"/>
      <c r="Q237" s="9"/>
      <c r="R237" s="9"/>
      <c r="S237" s="9"/>
      <c r="T237" s="9"/>
      <c r="U237" s="9"/>
      <c r="V237" s="9"/>
      <c r="W237" s="9"/>
      <c r="X237" s="9"/>
      <c r="Y237" s="9"/>
      <c r="Z237" s="9"/>
    </row>
    <row r="238">
      <c r="A238" s="54">
        <v>45797.58845701389</v>
      </c>
      <c r="B238" s="9"/>
      <c r="C238" s="9"/>
      <c r="D238" s="9"/>
      <c r="E238" s="9"/>
      <c r="F238" s="9"/>
      <c r="G238" s="9"/>
      <c r="H238" s="9">
        <v>1.0</v>
      </c>
      <c r="I238" s="9"/>
      <c r="J238" s="9">
        <v>1.0</v>
      </c>
      <c r="K238" s="9"/>
      <c r="L238" s="9"/>
      <c r="M238" s="9"/>
      <c r="N238" s="9"/>
      <c r="O238" s="9"/>
      <c r="P238" s="9"/>
      <c r="Q238" s="9"/>
      <c r="R238" s="9"/>
      <c r="S238" s="9"/>
      <c r="T238" s="9"/>
      <c r="U238" s="9"/>
      <c r="V238" s="9"/>
      <c r="W238" s="9"/>
      <c r="X238" s="9"/>
      <c r="Y238" s="9"/>
      <c r="Z238" s="9"/>
    </row>
    <row r="239">
      <c r="A239" s="54">
        <v>45797.58977844907</v>
      </c>
      <c r="B239" s="9"/>
      <c r="C239" s="9"/>
      <c r="D239" s="9"/>
      <c r="E239" s="9"/>
      <c r="F239" s="9"/>
      <c r="G239" s="9"/>
      <c r="H239" s="9">
        <v>1.0</v>
      </c>
      <c r="I239" s="9"/>
      <c r="J239" s="9">
        <v>1.0</v>
      </c>
      <c r="K239" s="9"/>
      <c r="L239" s="9"/>
      <c r="M239" s="9"/>
      <c r="N239" s="9"/>
      <c r="O239" s="9"/>
      <c r="P239" s="9"/>
      <c r="Q239" s="9"/>
      <c r="R239" s="9"/>
      <c r="S239" s="9"/>
      <c r="T239" s="9"/>
      <c r="U239" s="9"/>
      <c r="V239" s="9"/>
      <c r="W239" s="9"/>
      <c r="X239" s="9"/>
      <c r="Y239" s="9"/>
      <c r="Z239" s="9"/>
    </row>
    <row r="240">
      <c r="A240" s="54">
        <v>45797.736632500004</v>
      </c>
      <c r="B240" s="9"/>
      <c r="C240" s="9"/>
      <c r="D240" s="9"/>
      <c r="E240" s="9"/>
      <c r="F240" s="9"/>
      <c r="G240" s="9"/>
      <c r="H240" s="9">
        <v>1.0</v>
      </c>
      <c r="I240" s="9"/>
      <c r="J240" s="9">
        <v>1.0</v>
      </c>
      <c r="K240" s="9"/>
      <c r="L240" s="9"/>
      <c r="M240" s="9"/>
      <c r="N240" s="9"/>
      <c r="O240" s="9"/>
      <c r="P240" s="9"/>
      <c r="Q240" s="9"/>
      <c r="R240" s="9"/>
      <c r="S240" s="9"/>
      <c r="T240" s="9"/>
      <c r="U240" s="9"/>
      <c r="V240" s="9"/>
      <c r="W240" s="9"/>
      <c r="X240" s="9"/>
      <c r="Y240" s="9"/>
      <c r="Z240" s="9"/>
    </row>
    <row r="241">
      <c r="A241" s="54">
        <v>45798.62814451389</v>
      </c>
      <c r="B241" s="9"/>
      <c r="C241" s="9"/>
      <c r="D241" s="9"/>
      <c r="E241" s="9"/>
      <c r="F241" s="9"/>
      <c r="G241" s="9"/>
      <c r="H241" s="9">
        <v>1.0</v>
      </c>
      <c r="I241" s="9"/>
      <c r="J241" s="9">
        <v>1.0</v>
      </c>
      <c r="K241" s="9"/>
      <c r="L241" s="9"/>
      <c r="M241" s="9"/>
      <c r="N241" s="9"/>
      <c r="O241" s="9"/>
      <c r="P241" s="9"/>
      <c r="Q241" s="9"/>
      <c r="R241" s="9"/>
      <c r="S241" s="9"/>
      <c r="T241" s="9"/>
      <c r="U241" s="9"/>
      <c r="V241" s="9"/>
      <c r="W241" s="9"/>
      <c r="X241" s="9"/>
      <c r="Y241" s="9"/>
      <c r="Z241" s="9"/>
    </row>
    <row r="242">
      <c r="A242" s="54">
        <v>45798.69297768519</v>
      </c>
      <c r="B242" s="9"/>
      <c r="C242" s="9"/>
      <c r="D242" s="9"/>
      <c r="E242" s="9"/>
      <c r="F242" s="9"/>
      <c r="G242" s="9"/>
      <c r="H242" s="9">
        <v>1.0</v>
      </c>
      <c r="I242" s="9"/>
      <c r="J242" s="9">
        <v>1.0</v>
      </c>
      <c r="K242" s="9"/>
      <c r="L242" s="9"/>
      <c r="M242" s="9"/>
      <c r="N242" s="9"/>
      <c r="O242" s="9"/>
      <c r="P242" s="9"/>
      <c r="Q242" s="9"/>
      <c r="R242" s="9"/>
      <c r="S242" s="9"/>
      <c r="T242" s="9"/>
      <c r="U242" s="9"/>
      <c r="V242" s="9"/>
      <c r="W242" s="9"/>
      <c r="X242" s="9"/>
      <c r="Y242" s="9"/>
      <c r="Z242" s="9"/>
    </row>
    <row r="243">
      <c r="A243" s="54">
        <v>45799.77321005787</v>
      </c>
      <c r="B243" s="9"/>
      <c r="C243" s="9"/>
      <c r="D243" s="9"/>
      <c r="E243" s="9"/>
      <c r="F243" s="9"/>
      <c r="G243" s="9"/>
      <c r="H243" s="9">
        <v>1.0</v>
      </c>
      <c r="I243" s="9"/>
      <c r="J243" s="9">
        <v>1.0</v>
      </c>
      <c r="K243" s="9"/>
      <c r="L243" s="9"/>
      <c r="M243" s="9"/>
      <c r="N243" s="9"/>
      <c r="O243" s="9"/>
      <c r="P243" s="9"/>
      <c r="Q243" s="9"/>
      <c r="R243" s="9"/>
      <c r="S243" s="9"/>
      <c r="T243" s="9"/>
      <c r="U243" s="9"/>
      <c r="V243" s="9"/>
      <c r="W243" s="9"/>
      <c r="X243" s="9"/>
      <c r="Y243" s="9"/>
      <c r="Z243" s="9"/>
    </row>
    <row r="244">
      <c r="A244" s="54">
        <v>45806.645854120376</v>
      </c>
      <c r="B244" s="9"/>
      <c r="C244" s="9"/>
      <c r="D244" s="9"/>
      <c r="E244" s="9"/>
      <c r="F244" s="9"/>
      <c r="G244" s="9"/>
      <c r="H244" s="9">
        <v>1.0</v>
      </c>
      <c r="I244" s="9"/>
      <c r="J244" s="9">
        <v>1.0</v>
      </c>
      <c r="K244" s="9"/>
      <c r="L244" s="9"/>
      <c r="M244" s="9"/>
      <c r="N244" s="9"/>
      <c r="O244" s="9"/>
      <c r="P244" s="9"/>
      <c r="Q244" s="9"/>
      <c r="R244" s="9"/>
      <c r="S244" s="9"/>
      <c r="T244" s="9"/>
      <c r="U244" s="9"/>
      <c r="V244" s="9"/>
      <c r="W244" s="9"/>
      <c r="X244" s="9"/>
      <c r="Y244" s="9"/>
      <c r="Z244" s="9"/>
    </row>
    <row r="245">
      <c r="A245" s="54">
        <v>45806.64718943287</v>
      </c>
      <c r="B245" s="9"/>
      <c r="C245" s="9"/>
      <c r="D245" s="9"/>
      <c r="E245" s="9"/>
      <c r="F245" s="9"/>
      <c r="G245" s="9"/>
      <c r="H245" s="9">
        <v>1.0</v>
      </c>
      <c r="I245" s="9"/>
      <c r="J245" s="9">
        <v>1.0</v>
      </c>
      <c r="K245" s="9"/>
      <c r="L245" s="9"/>
      <c r="M245" s="9"/>
      <c r="N245" s="9"/>
      <c r="O245" s="9"/>
      <c r="P245" s="9"/>
      <c r="Q245" s="9"/>
      <c r="R245" s="9"/>
      <c r="S245" s="9"/>
      <c r="T245" s="9"/>
      <c r="U245" s="9"/>
      <c r="V245" s="9"/>
      <c r="W245" s="9"/>
      <c r="X245" s="9"/>
      <c r="Y245" s="9"/>
      <c r="Z245" s="9"/>
    </row>
    <row r="246">
      <c r="A246" s="54">
        <v>45806.64815864583</v>
      </c>
      <c r="B246" s="9"/>
      <c r="C246" s="9"/>
      <c r="D246" s="9"/>
      <c r="E246" s="9"/>
      <c r="F246" s="9"/>
      <c r="G246" s="9"/>
      <c r="H246" s="9">
        <v>1.0</v>
      </c>
      <c r="I246" s="9"/>
      <c r="J246" s="9">
        <v>1.0</v>
      </c>
      <c r="K246" s="9"/>
      <c r="L246" s="9"/>
      <c r="M246" s="9"/>
      <c r="N246" s="9"/>
      <c r="O246" s="9"/>
      <c r="P246" s="9"/>
      <c r="Q246" s="9"/>
      <c r="R246" s="9"/>
      <c r="S246" s="9"/>
      <c r="T246" s="9"/>
      <c r="U246" s="9"/>
      <c r="V246" s="9"/>
      <c r="W246" s="9"/>
      <c r="X246" s="9"/>
      <c r="Y246" s="9"/>
      <c r="Z246" s="9"/>
    </row>
    <row r="247">
      <c r="A247" s="54">
        <v>45806.71089987268</v>
      </c>
      <c r="B247" s="9"/>
      <c r="C247" s="9"/>
      <c r="D247" s="9"/>
      <c r="E247" s="9"/>
      <c r="F247" s="9"/>
      <c r="G247" s="9"/>
      <c r="H247" s="9">
        <v>1.0</v>
      </c>
      <c r="I247" s="9"/>
      <c r="J247" s="9">
        <v>1.0</v>
      </c>
      <c r="K247" s="9"/>
      <c r="L247" s="9"/>
      <c r="M247" s="9"/>
      <c r="N247" s="9"/>
      <c r="O247" s="9"/>
      <c r="P247" s="9"/>
      <c r="Q247" s="9"/>
      <c r="R247" s="9"/>
      <c r="S247" s="9"/>
      <c r="T247" s="9"/>
      <c r="U247" s="9"/>
      <c r="V247" s="9"/>
      <c r="W247" s="9"/>
      <c r="X247" s="9"/>
      <c r="Y247" s="9"/>
      <c r="Z247" s="9"/>
    </row>
    <row r="248">
      <c r="A248" s="54">
        <v>45807.384276909725</v>
      </c>
      <c r="B248" s="9"/>
      <c r="C248" s="9"/>
      <c r="D248" s="9"/>
      <c r="E248" s="9"/>
      <c r="F248" s="9"/>
      <c r="G248" s="9"/>
      <c r="H248" s="9">
        <v>1.0</v>
      </c>
      <c r="I248" s="9"/>
      <c r="J248" s="9">
        <v>1.0</v>
      </c>
      <c r="K248" s="9"/>
      <c r="L248" s="9"/>
      <c r="M248" s="9"/>
      <c r="N248" s="9"/>
      <c r="O248" s="9"/>
      <c r="P248" s="9"/>
      <c r="Q248" s="9"/>
      <c r="R248" s="9"/>
      <c r="S248" s="9"/>
      <c r="T248" s="9"/>
      <c r="U248" s="9"/>
      <c r="V248" s="9"/>
      <c r="W248" s="9"/>
      <c r="X248" s="9"/>
      <c r="Y248" s="9"/>
      <c r="Z248" s="9"/>
    </row>
    <row r="249">
      <c r="A249" s="54">
        <v>45807.387353032405</v>
      </c>
      <c r="B249" s="9"/>
      <c r="C249" s="9"/>
      <c r="D249" s="9"/>
      <c r="E249" s="9"/>
      <c r="F249" s="9"/>
      <c r="G249" s="9"/>
      <c r="H249" s="9">
        <v>1.0</v>
      </c>
      <c r="I249" s="9"/>
      <c r="J249" s="9">
        <v>1.0</v>
      </c>
      <c r="K249" s="9"/>
      <c r="L249" s="9"/>
      <c r="M249" s="9"/>
      <c r="N249" s="9"/>
      <c r="O249" s="9"/>
      <c r="P249" s="9"/>
      <c r="Q249" s="9"/>
      <c r="R249" s="9"/>
      <c r="S249" s="9"/>
      <c r="T249" s="9"/>
      <c r="U249" s="9"/>
      <c r="V249" s="9"/>
      <c r="W249" s="9"/>
      <c r="X249" s="9"/>
      <c r="Y249" s="9"/>
      <c r="Z249" s="9"/>
    </row>
    <row r="250">
      <c r="A250" s="54">
        <v>45811.53288883102</v>
      </c>
      <c r="B250" s="9"/>
      <c r="C250" s="9"/>
      <c r="D250" s="9"/>
      <c r="E250" s="9"/>
      <c r="F250" s="9"/>
      <c r="G250" s="9"/>
      <c r="H250" s="9">
        <v>1.0</v>
      </c>
      <c r="I250" s="9"/>
      <c r="J250" s="9">
        <v>1.0</v>
      </c>
      <c r="K250" s="9"/>
      <c r="L250" s="9"/>
      <c r="M250" s="9"/>
      <c r="N250" s="9"/>
      <c r="O250" s="9"/>
      <c r="P250" s="9"/>
      <c r="Q250" s="9"/>
      <c r="R250" s="9"/>
      <c r="S250" s="9"/>
      <c r="T250" s="9"/>
      <c r="U250" s="9"/>
      <c r="V250" s="9"/>
      <c r="W250" s="9"/>
      <c r="X250" s="9"/>
      <c r="Y250" s="9"/>
      <c r="Z250" s="9"/>
    </row>
    <row r="251">
      <c r="A251" s="54">
        <v>45811.53557898148</v>
      </c>
      <c r="B251" s="9"/>
      <c r="C251" s="9"/>
      <c r="D251" s="9"/>
      <c r="E251" s="9"/>
      <c r="F251" s="9"/>
      <c r="G251" s="9"/>
      <c r="H251" s="9">
        <v>1.0</v>
      </c>
      <c r="I251" s="9"/>
      <c r="J251" s="9">
        <v>1.0</v>
      </c>
      <c r="K251" s="9"/>
      <c r="L251" s="9"/>
      <c r="M251" s="9"/>
      <c r="N251" s="9"/>
      <c r="O251" s="9"/>
      <c r="P251" s="9"/>
      <c r="Q251" s="9"/>
      <c r="R251" s="9"/>
      <c r="S251" s="9"/>
      <c r="T251" s="9"/>
      <c r="U251" s="9"/>
      <c r="V251" s="9"/>
      <c r="W251" s="9"/>
      <c r="X251" s="9"/>
      <c r="Y251" s="9"/>
      <c r="Z251" s="9"/>
    </row>
    <row r="252">
      <c r="A252" s="54">
        <v>45811.537130902776</v>
      </c>
      <c r="B252" s="9"/>
      <c r="C252" s="9"/>
      <c r="D252" s="9"/>
      <c r="E252" s="9"/>
      <c r="F252" s="9"/>
      <c r="G252" s="9"/>
      <c r="H252" s="9">
        <v>1.0</v>
      </c>
      <c r="I252" s="9"/>
      <c r="J252" s="9">
        <v>1.0</v>
      </c>
      <c r="K252" s="9"/>
      <c r="L252" s="9"/>
      <c r="M252" s="9"/>
      <c r="N252" s="9"/>
      <c r="O252" s="9"/>
      <c r="P252" s="9"/>
      <c r="Q252" s="9"/>
      <c r="R252" s="9"/>
      <c r="S252" s="9"/>
      <c r="T252" s="9"/>
      <c r="U252" s="9"/>
      <c r="V252" s="9"/>
      <c r="W252" s="9"/>
      <c r="X252" s="9"/>
      <c r="Y252" s="9"/>
      <c r="Z252" s="9"/>
    </row>
    <row r="253">
      <c r="A253" s="54">
        <v>45812.96437460648</v>
      </c>
      <c r="B253" s="9"/>
      <c r="C253" s="9"/>
      <c r="D253" s="9"/>
      <c r="E253" s="9"/>
      <c r="F253" s="9"/>
      <c r="G253" s="9"/>
      <c r="H253" s="9">
        <v>1.0</v>
      </c>
      <c r="I253" s="9"/>
      <c r="J253" s="9">
        <v>1.0</v>
      </c>
      <c r="K253" s="9"/>
      <c r="L253" s="9"/>
      <c r="M253" s="9"/>
      <c r="N253" s="9"/>
      <c r="O253" s="9"/>
      <c r="P253" s="9"/>
      <c r="Q253" s="9"/>
      <c r="R253" s="9"/>
      <c r="S253" s="9"/>
      <c r="T253" s="9"/>
      <c r="U253" s="9"/>
      <c r="V253" s="9"/>
      <c r="W253" s="9"/>
      <c r="X253" s="9"/>
      <c r="Y253" s="9"/>
      <c r="Z253" s="9"/>
    </row>
    <row r="254">
      <c r="A254" s="54">
        <v>45819.50108965278</v>
      </c>
      <c r="B254" s="9"/>
      <c r="C254" s="9"/>
      <c r="D254" s="9"/>
      <c r="E254" s="9"/>
      <c r="F254" s="9"/>
      <c r="G254" s="9"/>
      <c r="H254" s="9">
        <v>1.0</v>
      </c>
      <c r="I254" s="9"/>
      <c r="J254" s="9">
        <v>1.0</v>
      </c>
      <c r="K254" s="9"/>
      <c r="L254" s="9"/>
      <c r="M254" s="9"/>
      <c r="N254" s="9"/>
      <c r="O254" s="9"/>
      <c r="P254" s="9"/>
      <c r="Q254" s="9"/>
      <c r="R254" s="9"/>
      <c r="S254" s="9"/>
      <c r="T254" s="9"/>
      <c r="U254" s="9"/>
      <c r="V254" s="9"/>
      <c r="W254" s="9"/>
      <c r="X254" s="9"/>
      <c r="Y254" s="9"/>
      <c r="Z254" s="9"/>
    </row>
    <row r="255">
      <c r="A255" s="54">
        <v>45819.50201467593</v>
      </c>
      <c r="B255" s="9"/>
      <c r="C255" s="9"/>
      <c r="D255" s="9"/>
      <c r="E255" s="9"/>
      <c r="F255" s="9"/>
      <c r="G255" s="9"/>
      <c r="H255" s="9">
        <v>1.0</v>
      </c>
      <c r="I255" s="9"/>
      <c r="J255" s="9">
        <v>1.0</v>
      </c>
      <c r="K255" s="9"/>
      <c r="L255" s="9"/>
      <c r="M255" s="9"/>
      <c r="N255" s="9"/>
      <c r="O255" s="9"/>
      <c r="P255" s="9"/>
      <c r="Q255" s="9"/>
      <c r="R255" s="9"/>
      <c r="S255" s="9"/>
      <c r="T255" s="9"/>
      <c r="U255" s="9"/>
      <c r="V255" s="9"/>
      <c r="W255" s="9"/>
      <c r="X255" s="9"/>
      <c r="Y255" s="9"/>
      <c r="Z255" s="9"/>
    </row>
    <row r="256">
      <c r="A256" s="54">
        <v>45825.603427650465</v>
      </c>
      <c r="B256" s="9"/>
      <c r="C256" s="9"/>
      <c r="D256" s="9"/>
      <c r="E256" s="9"/>
      <c r="F256" s="9"/>
      <c r="G256" s="9"/>
      <c r="H256" s="9">
        <v>1.0</v>
      </c>
      <c r="I256" s="9"/>
      <c r="J256" s="9">
        <v>1.0</v>
      </c>
      <c r="K256" s="9"/>
      <c r="L256" s="9"/>
      <c r="M256" s="9"/>
      <c r="N256" s="9"/>
      <c r="O256" s="9"/>
      <c r="P256" s="9"/>
      <c r="Q256" s="9"/>
      <c r="R256" s="9"/>
      <c r="S256" s="9"/>
      <c r="T256" s="9"/>
      <c r="U256" s="9"/>
      <c r="V256" s="9"/>
      <c r="W256" s="9"/>
      <c r="X256" s="9"/>
      <c r="Y256" s="9"/>
      <c r="Z256" s="9"/>
    </row>
    <row r="257">
      <c r="A257" s="54">
        <v>45847.41211366898</v>
      </c>
      <c r="B257" s="9"/>
      <c r="C257" s="9"/>
      <c r="D257" s="9"/>
      <c r="E257" s="9"/>
      <c r="F257" s="9">
        <v>1.0</v>
      </c>
      <c r="G257" s="9"/>
      <c r="H257" s="9"/>
      <c r="I257" s="9"/>
      <c r="J257" s="9">
        <v>1.0</v>
      </c>
      <c r="K257" s="9"/>
      <c r="L257" s="9"/>
      <c r="M257" s="9"/>
      <c r="N257" s="9"/>
      <c r="O257" s="9"/>
      <c r="P257" s="9"/>
      <c r="Q257" s="9"/>
      <c r="R257" s="9"/>
      <c r="S257" s="9"/>
      <c r="T257" s="9"/>
      <c r="U257" s="9"/>
      <c r="V257" s="9"/>
      <c r="W257" s="9"/>
      <c r="X257" s="9"/>
      <c r="Y257" s="9"/>
      <c r="Z257" s="9"/>
    </row>
    <row r="258">
      <c r="A258" s="54">
        <v>45882.582365775466</v>
      </c>
      <c r="B258" s="9"/>
      <c r="C258" s="9"/>
      <c r="D258" s="9">
        <v>1.0</v>
      </c>
      <c r="E258" s="9"/>
      <c r="F258" s="9"/>
      <c r="G258" s="9"/>
      <c r="H258" s="9"/>
      <c r="I258" s="9"/>
      <c r="J258" s="9">
        <v>1.0</v>
      </c>
      <c r="K258" s="9"/>
      <c r="L258" s="9"/>
      <c r="M258" s="9"/>
      <c r="N258" s="9"/>
      <c r="O258" s="9"/>
      <c r="P258" s="9"/>
      <c r="Q258" s="9"/>
      <c r="R258" s="9"/>
      <c r="S258" s="9"/>
      <c r="T258" s="9"/>
      <c r="U258" s="9"/>
      <c r="V258" s="9"/>
      <c r="W258" s="9"/>
      <c r="X258" s="9"/>
      <c r="Y258" s="9"/>
      <c r="Z258" s="9"/>
    </row>
    <row r="259">
      <c r="A259" s="54">
        <v>45882.584009224534</v>
      </c>
      <c r="B259" s="9"/>
      <c r="C259" s="9"/>
      <c r="D259" s="9">
        <v>1.0</v>
      </c>
      <c r="E259" s="9"/>
      <c r="F259" s="9"/>
      <c r="G259" s="9"/>
      <c r="H259" s="9"/>
      <c r="I259" s="9"/>
      <c r="J259" s="9">
        <v>1.0</v>
      </c>
      <c r="K259" s="9"/>
      <c r="L259" s="9"/>
      <c r="M259" s="9"/>
      <c r="N259" s="9"/>
      <c r="O259" s="9"/>
      <c r="P259" s="9"/>
      <c r="Q259" s="9"/>
      <c r="R259" s="9"/>
      <c r="S259" s="9"/>
      <c r="T259" s="9"/>
      <c r="U259" s="9"/>
      <c r="V259" s="9"/>
      <c r="W259" s="9"/>
      <c r="X259" s="9"/>
      <c r="Y259" s="9"/>
      <c r="Z259" s="9"/>
    </row>
    <row r="260">
      <c r="A260" s="54">
        <v>45882.62044396991</v>
      </c>
      <c r="B260" s="9"/>
      <c r="C260" s="9"/>
      <c r="D260" s="9">
        <v>1.0</v>
      </c>
      <c r="E260" s="9"/>
      <c r="F260" s="9"/>
      <c r="G260" s="9"/>
      <c r="H260" s="9"/>
      <c r="I260" s="9"/>
      <c r="J260" s="9">
        <v>1.0</v>
      </c>
      <c r="K260" s="9"/>
      <c r="L260" s="9"/>
      <c r="M260" s="9"/>
      <c r="N260" s="9"/>
      <c r="O260" s="9"/>
      <c r="P260" s="9"/>
      <c r="Q260" s="9"/>
      <c r="R260" s="9"/>
      <c r="S260" s="9"/>
      <c r="T260" s="9"/>
      <c r="U260" s="9"/>
      <c r="V260" s="9"/>
      <c r="W260" s="9"/>
      <c r="X260" s="9"/>
      <c r="Y260" s="9"/>
      <c r="Z260" s="9"/>
    </row>
    <row r="261">
      <c r="A261" s="54">
        <v>45882.68714009259</v>
      </c>
      <c r="B261" s="9"/>
      <c r="C261" s="9"/>
      <c r="D261" s="9">
        <v>1.0</v>
      </c>
      <c r="E261" s="9"/>
      <c r="F261" s="9"/>
      <c r="G261" s="9"/>
      <c r="H261" s="9"/>
      <c r="I261" s="9"/>
      <c r="J261" s="9">
        <v>1.0</v>
      </c>
      <c r="K261" s="9"/>
      <c r="L261" s="9"/>
      <c r="M261" s="9"/>
      <c r="N261" s="9"/>
      <c r="O261" s="9"/>
      <c r="P261" s="9"/>
      <c r="Q261" s="9"/>
      <c r="R261" s="9"/>
      <c r="S261" s="9"/>
      <c r="T261" s="9"/>
      <c r="U261" s="9"/>
      <c r="V261" s="9"/>
      <c r="W261" s="9"/>
      <c r="X261" s="9"/>
      <c r="Y261" s="9"/>
      <c r="Z261" s="9"/>
    </row>
    <row r="262">
      <c r="A262" s="54">
        <v>45882.68852880787</v>
      </c>
      <c r="B262" s="9"/>
      <c r="C262" s="9"/>
      <c r="D262" s="9">
        <v>1.0</v>
      </c>
      <c r="E262" s="9"/>
      <c r="F262" s="9"/>
      <c r="G262" s="9"/>
      <c r="H262" s="9"/>
      <c r="I262" s="9"/>
      <c r="J262" s="9">
        <v>1.0</v>
      </c>
      <c r="K262" s="9"/>
      <c r="L262" s="9"/>
      <c r="M262" s="9"/>
      <c r="N262" s="9"/>
      <c r="O262" s="9"/>
      <c r="P262" s="9"/>
      <c r="Q262" s="9"/>
      <c r="R262" s="9"/>
      <c r="S262" s="9"/>
      <c r="T262" s="9"/>
      <c r="U262" s="9"/>
      <c r="V262" s="9"/>
      <c r="W262" s="9"/>
      <c r="X262" s="9"/>
      <c r="Y262" s="9"/>
      <c r="Z262" s="9"/>
    </row>
    <row r="263">
      <c r="A263" s="54">
        <v>45883.57704449074</v>
      </c>
      <c r="B263" s="9"/>
      <c r="C263" s="9"/>
      <c r="D263" s="9">
        <v>1.0</v>
      </c>
      <c r="E263" s="9"/>
      <c r="F263" s="9"/>
      <c r="G263" s="9"/>
      <c r="H263" s="9"/>
      <c r="I263" s="9"/>
      <c r="J263" s="9">
        <v>1.0</v>
      </c>
      <c r="K263" s="9"/>
      <c r="L263" s="9"/>
      <c r="M263" s="9"/>
      <c r="N263" s="9"/>
      <c r="O263" s="9"/>
      <c r="P263" s="9"/>
      <c r="Q263" s="9"/>
      <c r="R263" s="9"/>
      <c r="S263" s="9"/>
      <c r="T263" s="9"/>
      <c r="U263" s="9"/>
      <c r="V263" s="9"/>
      <c r="W263" s="9"/>
      <c r="X263" s="9"/>
      <c r="Y263" s="9"/>
      <c r="Z263" s="9"/>
    </row>
    <row r="264">
      <c r="A264" s="54">
        <v>45883.58683054398</v>
      </c>
      <c r="B264" s="9"/>
      <c r="C264" s="9"/>
      <c r="D264" s="9">
        <v>1.0</v>
      </c>
      <c r="E264" s="9"/>
      <c r="F264" s="9"/>
      <c r="G264" s="9"/>
      <c r="H264" s="9"/>
      <c r="I264" s="9"/>
      <c r="J264" s="9">
        <v>1.0</v>
      </c>
      <c r="K264" s="9"/>
      <c r="L264" s="9"/>
      <c r="M264" s="9"/>
      <c r="N264" s="9"/>
      <c r="O264" s="9"/>
      <c r="P264" s="9"/>
      <c r="Q264" s="9"/>
      <c r="R264" s="9"/>
      <c r="S264" s="9"/>
      <c r="T264" s="9"/>
      <c r="U264" s="9"/>
      <c r="V264" s="9"/>
      <c r="W264" s="9"/>
      <c r="X264" s="9"/>
      <c r="Y264" s="9"/>
      <c r="Z264" s="9"/>
    </row>
    <row r="265">
      <c r="A265" s="54">
        <v>45884.34503832176</v>
      </c>
      <c r="B265" s="9"/>
      <c r="C265" s="9"/>
      <c r="D265" s="9">
        <v>1.0</v>
      </c>
      <c r="E265" s="9"/>
      <c r="F265" s="9"/>
      <c r="G265" s="9"/>
      <c r="H265" s="9"/>
      <c r="I265" s="9"/>
      <c r="J265" s="9">
        <v>1.0</v>
      </c>
      <c r="K265" s="9"/>
      <c r="L265" s="9"/>
      <c r="M265" s="9"/>
      <c r="N265" s="9"/>
      <c r="O265" s="9"/>
      <c r="P265" s="9"/>
      <c r="Q265" s="9"/>
      <c r="R265" s="9"/>
      <c r="S265" s="9"/>
      <c r="T265" s="9"/>
      <c r="U265" s="9"/>
      <c r="V265" s="9"/>
      <c r="W265" s="9"/>
      <c r="X265" s="9"/>
      <c r="Y265" s="9"/>
      <c r="Z265" s="9"/>
    </row>
    <row r="266">
      <c r="A266" s="54">
        <v>45884.461316076384</v>
      </c>
      <c r="B266" s="9"/>
      <c r="C266" s="9"/>
      <c r="D266" s="9">
        <v>2.0</v>
      </c>
      <c r="E266" s="9"/>
      <c r="F266" s="9"/>
      <c r="G266" s="9"/>
      <c r="H266" s="9"/>
      <c r="I266" s="9"/>
      <c r="J266" s="9">
        <v>2.0</v>
      </c>
      <c r="K266" s="9"/>
      <c r="L266" s="9"/>
      <c r="M266" s="9"/>
      <c r="N266" s="9"/>
      <c r="O266" s="9"/>
      <c r="P266" s="9"/>
      <c r="Q266" s="9"/>
      <c r="R266" s="9"/>
      <c r="S266" s="9"/>
      <c r="T266" s="9"/>
      <c r="U266" s="9"/>
      <c r="V266" s="9"/>
      <c r="W266" s="9"/>
      <c r="X266" s="9"/>
      <c r="Y266" s="9"/>
      <c r="Z266" s="9"/>
    </row>
    <row r="267">
      <c r="A267" s="54">
        <v>45887.318930925925</v>
      </c>
      <c r="B267" s="9"/>
      <c r="C267" s="9"/>
      <c r="D267" s="9">
        <v>1.0</v>
      </c>
      <c r="E267" s="9"/>
      <c r="F267" s="9"/>
      <c r="G267" s="9"/>
      <c r="H267" s="9"/>
      <c r="I267" s="9"/>
      <c r="J267" s="9">
        <v>1.0</v>
      </c>
      <c r="K267" s="9"/>
      <c r="L267" s="9"/>
      <c r="M267" s="9"/>
      <c r="N267" s="9"/>
      <c r="O267" s="9"/>
      <c r="P267" s="9"/>
      <c r="Q267" s="9"/>
      <c r="R267" s="9"/>
      <c r="S267" s="9"/>
      <c r="T267" s="9"/>
      <c r="U267" s="9"/>
      <c r="V267" s="9"/>
      <c r="W267" s="9"/>
      <c r="X267" s="9"/>
      <c r="Y267" s="9"/>
      <c r="Z267" s="9"/>
    </row>
    <row r="268">
      <c r="A268" s="54">
        <v>45887.33878104167</v>
      </c>
      <c r="B268" s="9"/>
      <c r="C268" s="9"/>
      <c r="D268" s="9">
        <v>1.0</v>
      </c>
      <c r="E268" s="9"/>
      <c r="F268" s="9"/>
      <c r="G268" s="9"/>
      <c r="H268" s="9"/>
      <c r="I268" s="9"/>
      <c r="J268" s="9">
        <v>1.0</v>
      </c>
      <c r="K268" s="9"/>
      <c r="L268" s="9"/>
      <c r="M268" s="9"/>
      <c r="N268" s="9"/>
      <c r="O268" s="9"/>
      <c r="P268" s="9"/>
      <c r="Q268" s="9"/>
      <c r="R268" s="9"/>
      <c r="S268" s="9"/>
      <c r="T268" s="9"/>
      <c r="U268" s="9"/>
      <c r="V268" s="9"/>
      <c r="W268" s="9"/>
      <c r="X268" s="9"/>
      <c r="Y268" s="9"/>
      <c r="Z268" s="9"/>
    </row>
    <row r="269">
      <c r="A269" s="54">
        <v>45887.38941471065</v>
      </c>
      <c r="B269" s="9"/>
      <c r="C269" s="9"/>
      <c r="D269" s="9">
        <v>1.0</v>
      </c>
      <c r="E269" s="9"/>
      <c r="F269" s="9"/>
      <c r="G269" s="9"/>
      <c r="H269" s="9"/>
      <c r="I269" s="9"/>
      <c r="J269" s="9">
        <v>1.0</v>
      </c>
      <c r="K269" s="9"/>
      <c r="L269" s="9"/>
      <c r="M269" s="9"/>
      <c r="N269" s="9"/>
      <c r="O269" s="9"/>
      <c r="P269" s="9"/>
      <c r="Q269" s="9"/>
      <c r="R269" s="9"/>
      <c r="S269" s="9"/>
      <c r="T269" s="9"/>
      <c r="U269" s="9"/>
      <c r="V269" s="9"/>
      <c r="W269" s="9"/>
      <c r="X269" s="9"/>
      <c r="Y269" s="9"/>
      <c r="Z269" s="9"/>
    </row>
    <row r="270">
      <c r="A270" s="54">
        <v>45887.3994628588</v>
      </c>
      <c r="B270" s="9"/>
      <c r="C270" s="9"/>
      <c r="D270" s="9">
        <v>1.0</v>
      </c>
      <c r="E270" s="9"/>
      <c r="F270" s="9"/>
      <c r="G270" s="9"/>
      <c r="H270" s="9"/>
      <c r="I270" s="9"/>
      <c r="J270" s="9">
        <v>1.0</v>
      </c>
      <c r="K270" s="9"/>
      <c r="L270" s="9"/>
      <c r="M270" s="9"/>
      <c r="N270" s="9"/>
      <c r="O270" s="9"/>
      <c r="P270" s="9"/>
      <c r="Q270" s="9"/>
      <c r="R270" s="9"/>
      <c r="S270" s="9"/>
      <c r="T270" s="9"/>
      <c r="U270" s="9"/>
      <c r="V270" s="9"/>
      <c r="W270" s="9"/>
      <c r="X270" s="9"/>
      <c r="Y270" s="9"/>
      <c r="Z270" s="9"/>
    </row>
    <row r="271">
      <c r="A271" s="54">
        <v>45887.43419704861</v>
      </c>
      <c r="B271" s="9"/>
      <c r="C271" s="9"/>
      <c r="D271" s="9">
        <v>1.0</v>
      </c>
      <c r="E271" s="9"/>
      <c r="F271" s="9"/>
      <c r="G271" s="9"/>
      <c r="H271" s="9"/>
      <c r="I271" s="9"/>
      <c r="J271" s="9">
        <v>1.0</v>
      </c>
      <c r="K271" s="9"/>
      <c r="L271" s="9"/>
      <c r="M271" s="9"/>
      <c r="N271" s="9"/>
      <c r="O271" s="9"/>
      <c r="P271" s="9"/>
      <c r="Q271" s="9"/>
      <c r="R271" s="9"/>
      <c r="S271" s="9"/>
      <c r="T271" s="9"/>
      <c r="U271" s="9"/>
      <c r="V271" s="9"/>
      <c r="W271" s="9"/>
      <c r="X271" s="9"/>
      <c r="Y271" s="9"/>
      <c r="Z271" s="9"/>
    </row>
    <row r="272">
      <c r="A272" s="54">
        <v>45887.43637850694</v>
      </c>
      <c r="B272" s="9"/>
      <c r="C272" s="9"/>
      <c r="D272" s="9">
        <v>1.0</v>
      </c>
      <c r="E272" s="9"/>
      <c r="F272" s="9"/>
      <c r="G272" s="9"/>
      <c r="H272" s="9"/>
      <c r="I272" s="9"/>
      <c r="J272" s="9">
        <v>1.0</v>
      </c>
      <c r="K272" s="9"/>
      <c r="L272" s="9"/>
      <c r="M272" s="9"/>
      <c r="N272" s="9"/>
      <c r="O272" s="9"/>
      <c r="P272" s="9"/>
      <c r="Q272" s="9"/>
      <c r="R272" s="9"/>
      <c r="S272" s="9"/>
      <c r="T272" s="9"/>
      <c r="U272" s="9"/>
      <c r="V272" s="9"/>
      <c r="W272" s="9"/>
      <c r="X272" s="9"/>
      <c r="Y272" s="9"/>
      <c r="Z272" s="9"/>
    </row>
    <row r="273">
      <c r="A273" s="54">
        <v>45887.43782614583</v>
      </c>
      <c r="B273" s="9"/>
      <c r="C273" s="9"/>
      <c r="D273" s="9">
        <v>1.0</v>
      </c>
      <c r="E273" s="9"/>
      <c r="F273" s="9"/>
      <c r="G273" s="9"/>
      <c r="H273" s="9"/>
      <c r="I273" s="9"/>
      <c r="J273" s="9">
        <v>1.0</v>
      </c>
      <c r="K273" s="9"/>
      <c r="L273" s="9"/>
      <c r="M273" s="9"/>
      <c r="N273" s="9"/>
      <c r="O273" s="9"/>
      <c r="P273" s="9"/>
      <c r="Q273" s="9"/>
      <c r="R273" s="9"/>
      <c r="S273" s="9"/>
      <c r="T273" s="9"/>
      <c r="U273" s="9"/>
      <c r="V273" s="9"/>
      <c r="W273" s="9"/>
      <c r="X273" s="9"/>
      <c r="Y273" s="9"/>
      <c r="Z273" s="9"/>
    </row>
    <row r="274">
      <c r="A274" s="54">
        <v>45887.464940729165</v>
      </c>
      <c r="B274" s="9"/>
      <c r="C274" s="9"/>
      <c r="D274" s="9">
        <v>1.0</v>
      </c>
      <c r="E274" s="9"/>
      <c r="F274" s="9"/>
      <c r="G274" s="9"/>
      <c r="H274" s="9"/>
      <c r="I274" s="9"/>
      <c r="J274" s="9">
        <v>1.0</v>
      </c>
      <c r="K274" s="9"/>
      <c r="L274" s="9"/>
      <c r="M274" s="9"/>
      <c r="N274" s="9"/>
      <c r="O274" s="9"/>
      <c r="P274" s="9"/>
      <c r="Q274" s="9"/>
      <c r="R274" s="9"/>
      <c r="S274" s="9"/>
      <c r="T274" s="9"/>
      <c r="U274" s="9"/>
      <c r="V274" s="9"/>
      <c r="W274" s="9"/>
      <c r="X274" s="9"/>
      <c r="Y274" s="9"/>
      <c r="Z274" s="9"/>
    </row>
    <row r="275">
      <c r="A275" s="54">
        <v>45887.534879768515</v>
      </c>
      <c r="B275" s="9"/>
      <c r="C275" s="9"/>
      <c r="D275" s="9">
        <v>1.0</v>
      </c>
      <c r="E275" s="9"/>
      <c r="F275" s="9"/>
      <c r="G275" s="9"/>
      <c r="H275" s="9"/>
      <c r="I275" s="9"/>
      <c r="J275" s="9">
        <v>1.0</v>
      </c>
      <c r="K275" s="9"/>
      <c r="L275" s="9"/>
      <c r="M275" s="9"/>
      <c r="N275" s="9"/>
      <c r="O275" s="9"/>
      <c r="P275" s="9"/>
      <c r="Q275" s="9"/>
      <c r="R275" s="9"/>
      <c r="S275" s="9"/>
      <c r="T275" s="9"/>
      <c r="U275" s="9"/>
      <c r="V275" s="9"/>
      <c r="W275" s="9"/>
      <c r="X275" s="9"/>
      <c r="Y275" s="9"/>
      <c r="Z275" s="9"/>
    </row>
    <row r="276">
      <c r="A276" s="54">
        <v>45887.58336266204</v>
      </c>
      <c r="B276" s="9"/>
      <c r="C276" s="9"/>
      <c r="D276" s="9">
        <v>1.0</v>
      </c>
      <c r="E276" s="9"/>
      <c r="F276" s="9"/>
      <c r="G276" s="9"/>
      <c r="H276" s="9"/>
      <c r="I276" s="9"/>
      <c r="J276" s="9">
        <v>1.0</v>
      </c>
      <c r="K276" s="9"/>
      <c r="L276" s="9"/>
      <c r="M276" s="9"/>
      <c r="N276" s="9"/>
      <c r="O276" s="9"/>
      <c r="P276" s="9"/>
      <c r="Q276" s="9"/>
      <c r="R276" s="9"/>
      <c r="S276" s="9"/>
      <c r="T276" s="9"/>
      <c r="U276" s="9"/>
      <c r="V276" s="9"/>
      <c r="W276" s="9"/>
      <c r="X276" s="9"/>
      <c r="Y276" s="9"/>
      <c r="Z276" s="9"/>
    </row>
    <row r="277">
      <c r="A277" s="54">
        <v>45887.585870324074</v>
      </c>
      <c r="B277" s="9"/>
      <c r="C277" s="9"/>
      <c r="D277" s="9">
        <v>1.0</v>
      </c>
      <c r="E277" s="9"/>
      <c r="F277" s="9"/>
      <c r="G277" s="9"/>
      <c r="H277" s="9"/>
      <c r="I277" s="9"/>
      <c r="J277" s="9">
        <v>1.0</v>
      </c>
      <c r="K277" s="9"/>
      <c r="L277" s="9"/>
      <c r="M277" s="9"/>
      <c r="N277" s="9"/>
      <c r="O277" s="9"/>
      <c r="P277" s="9"/>
      <c r="Q277" s="9"/>
      <c r="R277" s="9"/>
      <c r="S277" s="9"/>
      <c r="T277" s="9"/>
      <c r="U277" s="9"/>
      <c r="V277" s="9"/>
      <c r="W277" s="9"/>
      <c r="X277" s="9"/>
      <c r="Y277" s="9"/>
      <c r="Z277" s="9"/>
    </row>
    <row r="278">
      <c r="A278" s="54">
        <v>45887.5875459838</v>
      </c>
      <c r="B278" s="9"/>
      <c r="C278" s="9"/>
      <c r="D278" s="9">
        <v>1.0</v>
      </c>
      <c r="E278" s="9"/>
      <c r="F278" s="9"/>
      <c r="G278" s="9"/>
      <c r="H278" s="9"/>
      <c r="I278" s="9"/>
      <c r="J278" s="9">
        <v>1.0</v>
      </c>
      <c r="K278" s="9"/>
      <c r="L278" s="9"/>
      <c r="M278" s="9"/>
      <c r="N278" s="9"/>
      <c r="O278" s="9"/>
      <c r="P278" s="9"/>
      <c r="Q278" s="9"/>
      <c r="R278" s="9"/>
      <c r="S278" s="9"/>
      <c r="T278" s="9"/>
      <c r="U278" s="9"/>
      <c r="V278" s="9"/>
      <c r="W278" s="9"/>
      <c r="X278" s="9"/>
      <c r="Y278" s="9"/>
      <c r="Z278" s="9"/>
    </row>
    <row r="279">
      <c r="A279" s="54">
        <v>45887.594375347224</v>
      </c>
      <c r="B279" s="9"/>
      <c r="C279" s="9"/>
      <c r="D279" s="9">
        <v>1.0</v>
      </c>
      <c r="E279" s="9"/>
      <c r="F279" s="9"/>
      <c r="G279" s="9"/>
      <c r="H279" s="9"/>
      <c r="I279" s="9"/>
      <c r="J279" s="9">
        <v>1.0</v>
      </c>
      <c r="K279" s="9"/>
      <c r="L279" s="9"/>
      <c r="M279" s="9"/>
      <c r="N279" s="9"/>
      <c r="O279" s="9"/>
      <c r="P279" s="9"/>
      <c r="Q279" s="9"/>
      <c r="R279" s="9"/>
      <c r="S279" s="9"/>
      <c r="T279" s="9"/>
      <c r="U279" s="9"/>
      <c r="V279" s="9"/>
      <c r="W279" s="9"/>
      <c r="X279" s="9"/>
      <c r="Y279" s="9"/>
      <c r="Z279" s="9"/>
    </row>
    <row r="280">
      <c r="A280" s="54">
        <v>45887.59501304398</v>
      </c>
      <c r="B280" s="9"/>
      <c r="C280" s="9"/>
      <c r="D280" s="9">
        <v>1.0</v>
      </c>
      <c r="E280" s="9"/>
      <c r="F280" s="9"/>
      <c r="G280" s="9"/>
      <c r="H280" s="9"/>
      <c r="I280" s="9"/>
      <c r="J280" s="9">
        <v>1.0</v>
      </c>
      <c r="K280" s="9"/>
      <c r="L280" s="9"/>
      <c r="M280" s="9"/>
      <c r="N280" s="9"/>
      <c r="O280" s="9"/>
      <c r="P280" s="9"/>
      <c r="Q280" s="9"/>
      <c r="R280" s="9"/>
      <c r="S280" s="9"/>
      <c r="T280" s="9"/>
      <c r="U280" s="9"/>
      <c r="V280" s="9"/>
      <c r="W280" s="9"/>
      <c r="X280" s="9"/>
      <c r="Y280" s="9"/>
      <c r="Z280" s="9"/>
    </row>
    <row r="281">
      <c r="A281" s="54">
        <v>45887.63418303241</v>
      </c>
      <c r="B281" s="9"/>
      <c r="C281" s="9"/>
      <c r="D281" s="9">
        <v>1.0</v>
      </c>
      <c r="E281" s="9"/>
      <c r="F281" s="9"/>
      <c r="G281" s="9"/>
      <c r="H281" s="9"/>
      <c r="I281" s="9"/>
      <c r="J281" s="9">
        <v>1.0</v>
      </c>
      <c r="K281" s="9"/>
      <c r="L281" s="9"/>
      <c r="M281" s="9"/>
      <c r="N281" s="9"/>
      <c r="O281" s="9"/>
      <c r="P281" s="9"/>
      <c r="Q281" s="9"/>
      <c r="R281" s="9"/>
      <c r="S281" s="9"/>
      <c r="T281" s="9"/>
      <c r="U281" s="9"/>
      <c r="V281" s="9"/>
      <c r="W281" s="9"/>
      <c r="X281" s="9"/>
      <c r="Y281" s="9"/>
      <c r="Z281" s="9"/>
    </row>
    <row r="282">
      <c r="A282" s="54">
        <v>45887.651444930554</v>
      </c>
      <c r="B282" s="9"/>
      <c r="C282" s="9"/>
      <c r="D282" s="9">
        <v>1.0</v>
      </c>
      <c r="E282" s="9"/>
      <c r="F282" s="9"/>
      <c r="G282" s="9"/>
      <c r="H282" s="9"/>
      <c r="I282" s="9"/>
      <c r="J282" s="9">
        <v>1.0</v>
      </c>
      <c r="K282" s="9"/>
      <c r="L282" s="9"/>
      <c r="M282" s="9"/>
      <c r="N282" s="9"/>
      <c r="O282" s="9"/>
      <c r="P282" s="9"/>
      <c r="Q282" s="9"/>
      <c r="R282" s="9"/>
      <c r="S282" s="9"/>
      <c r="T282" s="9"/>
      <c r="U282" s="9"/>
      <c r="V282" s="9"/>
      <c r="W282" s="9"/>
      <c r="X282" s="9"/>
      <c r="Y282" s="9"/>
      <c r="Z282" s="9"/>
    </row>
    <row r="283">
      <c r="A283" s="54">
        <v>45887.65779344908</v>
      </c>
      <c r="B283" s="9"/>
      <c r="C283" s="9"/>
      <c r="D283" s="9">
        <v>1.0</v>
      </c>
      <c r="E283" s="9"/>
      <c r="F283" s="9"/>
      <c r="G283" s="9"/>
      <c r="H283" s="9"/>
      <c r="I283" s="9"/>
      <c r="J283" s="9">
        <v>1.0</v>
      </c>
      <c r="K283" s="9"/>
      <c r="L283" s="9"/>
      <c r="M283" s="9"/>
      <c r="N283" s="9"/>
      <c r="O283" s="9"/>
      <c r="P283" s="9"/>
      <c r="Q283" s="9"/>
      <c r="R283" s="9"/>
      <c r="S283" s="9"/>
      <c r="T283" s="9"/>
      <c r="U283" s="9"/>
      <c r="V283" s="9"/>
      <c r="W283" s="9"/>
      <c r="X283" s="9"/>
      <c r="Y283" s="9"/>
      <c r="Z283" s="9"/>
    </row>
    <row r="284">
      <c r="A284" s="54">
        <v>45887.670805127316</v>
      </c>
      <c r="B284" s="9"/>
      <c r="C284" s="9"/>
      <c r="D284" s="9">
        <v>1.0</v>
      </c>
      <c r="E284" s="9"/>
      <c r="F284" s="9"/>
      <c r="G284" s="9"/>
      <c r="H284" s="9"/>
      <c r="I284" s="9"/>
      <c r="J284" s="9">
        <v>1.0</v>
      </c>
      <c r="K284" s="9"/>
      <c r="L284" s="9"/>
      <c r="M284" s="9"/>
      <c r="N284" s="9"/>
      <c r="O284" s="9"/>
      <c r="P284" s="9"/>
      <c r="Q284" s="9"/>
      <c r="R284" s="9"/>
      <c r="S284" s="9"/>
      <c r="T284" s="9"/>
      <c r="U284" s="9"/>
      <c r="V284" s="9"/>
      <c r="W284" s="9"/>
      <c r="X284" s="9"/>
      <c r="Y284" s="9"/>
      <c r="Z284" s="9"/>
    </row>
    <row r="285">
      <c r="A285" s="54">
        <v>45887.67558347222</v>
      </c>
      <c r="B285" s="9"/>
      <c r="C285" s="9"/>
      <c r="D285" s="9">
        <v>1.0</v>
      </c>
      <c r="E285" s="9"/>
      <c r="F285" s="9"/>
      <c r="G285" s="9"/>
      <c r="H285" s="9"/>
      <c r="I285" s="9"/>
      <c r="J285" s="9">
        <v>1.0</v>
      </c>
      <c r="K285" s="9"/>
      <c r="L285" s="9"/>
      <c r="M285" s="9"/>
      <c r="N285" s="9"/>
      <c r="O285" s="9"/>
      <c r="P285" s="9"/>
      <c r="Q285" s="9"/>
      <c r="R285" s="9"/>
      <c r="S285" s="9"/>
      <c r="T285" s="9"/>
      <c r="U285" s="9"/>
      <c r="V285" s="9"/>
      <c r="W285" s="9"/>
      <c r="X285" s="9"/>
      <c r="Y285" s="9"/>
      <c r="Z285" s="9"/>
    </row>
    <row r="286">
      <c r="A286" s="54">
        <v>45887.68935141204</v>
      </c>
      <c r="B286" s="9"/>
      <c r="C286" s="9"/>
      <c r="D286" s="9">
        <v>1.0</v>
      </c>
      <c r="E286" s="9"/>
      <c r="F286" s="9"/>
      <c r="G286" s="9"/>
      <c r="H286" s="9"/>
      <c r="I286" s="9"/>
      <c r="J286" s="9">
        <v>1.0</v>
      </c>
      <c r="K286" s="9"/>
      <c r="L286" s="9"/>
      <c r="M286" s="9"/>
      <c r="N286" s="9"/>
      <c r="O286" s="9"/>
      <c r="P286" s="9"/>
      <c r="Q286" s="9"/>
      <c r="R286" s="9"/>
      <c r="S286" s="9"/>
      <c r="T286" s="9"/>
      <c r="U286" s="9"/>
      <c r="V286" s="9"/>
      <c r="W286" s="9"/>
      <c r="X286" s="9"/>
      <c r="Y286" s="9"/>
      <c r="Z286" s="9"/>
    </row>
    <row r="287">
      <c r="A287" s="54">
        <v>45887.69280452546</v>
      </c>
      <c r="B287" s="9"/>
      <c r="C287" s="9"/>
      <c r="D287" s="9">
        <v>1.0</v>
      </c>
      <c r="E287" s="9"/>
      <c r="F287" s="9"/>
      <c r="G287" s="9"/>
      <c r="H287" s="9"/>
      <c r="I287" s="9"/>
      <c r="J287" s="9">
        <v>1.0</v>
      </c>
      <c r="K287" s="9"/>
      <c r="L287" s="9"/>
      <c r="M287" s="9"/>
      <c r="N287" s="9"/>
      <c r="O287" s="9"/>
      <c r="P287" s="9"/>
      <c r="Q287" s="9"/>
      <c r="R287" s="9"/>
      <c r="S287" s="9"/>
      <c r="T287" s="9"/>
      <c r="U287" s="9"/>
      <c r="V287" s="9"/>
      <c r="W287" s="9"/>
      <c r="X287" s="9"/>
      <c r="Y287" s="9"/>
      <c r="Z287" s="9"/>
    </row>
    <row r="288">
      <c r="A288" s="54">
        <v>45887.69642248843</v>
      </c>
      <c r="B288" s="9"/>
      <c r="C288" s="9"/>
      <c r="D288" s="9">
        <v>1.0</v>
      </c>
      <c r="E288" s="9"/>
      <c r="F288" s="9"/>
      <c r="G288" s="9"/>
      <c r="H288" s="9"/>
      <c r="I288" s="9"/>
      <c r="J288" s="9">
        <v>1.0</v>
      </c>
      <c r="K288" s="9"/>
      <c r="L288" s="9"/>
      <c r="M288" s="9"/>
      <c r="N288" s="9"/>
      <c r="O288" s="9"/>
      <c r="P288" s="9"/>
      <c r="Q288" s="9"/>
      <c r="R288" s="9"/>
      <c r="S288" s="9"/>
      <c r="T288" s="9"/>
      <c r="U288" s="9"/>
      <c r="V288" s="9"/>
      <c r="W288" s="9"/>
      <c r="X288" s="9"/>
      <c r="Y288" s="9"/>
      <c r="Z288" s="9"/>
    </row>
    <row r="289">
      <c r="A289" s="54">
        <v>45887.69693125</v>
      </c>
      <c r="B289" s="9"/>
      <c r="C289" s="9"/>
      <c r="D289" s="9">
        <v>1.0</v>
      </c>
      <c r="E289" s="9"/>
      <c r="F289" s="9"/>
      <c r="G289" s="9"/>
      <c r="H289" s="9"/>
      <c r="I289" s="9"/>
      <c r="J289" s="9">
        <v>1.0</v>
      </c>
      <c r="K289" s="9"/>
      <c r="L289" s="9"/>
      <c r="M289" s="9"/>
      <c r="N289" s="9"/>
      <c r="O289" s="9"/>
      <c r="P289" s="9"/>
      <c r="Q289" s="9"/>
      <c r="R289" s="9"/>
      <c r="S289" s="9"/>
      <c r="T289" s="9"/>
      <c r="U289" s="9"/>
      <c r="V289" s="9"/>
      <c r="W289" s="9"/>
      <c r="X289" s="9"/>
      <c r="Y289" s="9"/>
      <c r="Z289" s="9"/>
    </row>
    <row r="290">
      <c r="A290" s="54">
        <v>45887.69932212963</v>
      </c>
      <c r="B290" s="9"/>
      <c r="C290" s="9"/>
      <c r="D290" s="9">
        <v>1.0</v>
      </c>
      <c r="E290" s="9"/>
      <c r="F290" s="9"/>
      <c r="G290" s="9"/>
      <c r="H290" s="9"/>
      <c r="I290" s="9"/>
      <c r="J290" s="9">
        <v>1.0</v>
      </c>
      <c r="K290" s="9"/>
      <c r="L290" s="9"/>
      <c r="M290" s="9"/>
      <c r="N290" s="9"/>
      <c r="O290" s="9"/>
      <c r="P290" s="9"/>
      <c r="Q290" s="9"/>
      <c r="R290" s="9"/>
      <c r="S290" s="9"/>
      <c r="T290" s="9"/>
      <c r="U290" s="9"/>
      <c r="V290" s="9"/>
      <c r="W290" s="9"/>
      <c r="X290" s="9"/>
      <c r="Y290" s="9"/>
      <c r="Z290" s="9"/>
    </row>
    <row r="291">
      <c r="A291" s="54">
        <v>45887.6995831713</v>
      </c>
      <c r="B291" s="9"/>
      <c r="C291" s="9"/>
      <c r="D291" s="9">
        <v>1.0</v>
      </c>
      <c r="E291" s="9"/>
      <c r="F291" s="9"/>
      <c r="G291" s="9"/>
      <c r="H291" s="9"/>
      <c r="I291" s="9"/>
      <c r="J291" s="9">
        <v>1.0</v>
      </c>
      <c r="K291" s="9"/>
      <c r="L291" s="9"/>
      <c r="M291" s="9"/>
      <c r="N291" s="9"/>
      <c r="O291" s="9"/>
      <c r="P291" s="9"/>
      <c r="Q291" s="9"/>
      <c r="R291" s="9"/>
      <c r="S291" s="9"/>
      <c r="T291" s="9"/>
      <c r="U291" s="9"/>
      <c r="V291" s="9"/>
      <c r="W291" s="9"/>
      <c r="X291" s="9"/>
      <c r="Y291" s="9"/>
      <c r="Z291" s="9"/>
    </row>
    <row r="292">
      <c r="A292" s="54">
        <v>45887.70179395833</v>
      </c>
      <c r="B292" s="9"/>
      <c r="C292" s="9"/>
      <c r="D292" s="9">
        <v>1.0</v>
      </c>
      <c r="E292" s="9"/>
      <c r="F292" s="9"/>
      <c r="G292" s="9"/>
      <c r="H292" s="9"/>
      <c r="I292" s="9"/>
      <c r="J292" s="9">
        <v>1.0</v>
      </c>
      <c r="K292" s="9"/>
      <c r="L292" s="9"/>
      <c r="M292" s="9"/>
      <c r="N292" s="9"/>
      <c r="O292" s="9"/>
      <c r="P292" s="9"/>
      <c r="Q292" s="9"/>
      <c r="R292" s="9"/>
      <c r="S292" s="9"/>
      <c r="T292" s="9"/>
      <c r="U292" s="9"/>
      <c r="V292" s="9"/>
      <c r="W292" s="9"/>
      <c r="X292" s="9"/>
      <c r="Y292" s="9"/>
      <c r="Z292" s="9"/>
    </row>
    <row r="293">
      <c r="A293" s="54">
        <v>45887.70218616899</v>
      </c>
      <c r="B293" s="9"/>
      <c r="C293" s="9"/>
      <c r="D293" s="9">
        <v>1.0</v>
      </c>
      <c r="E293" s="9"/>
      <c r="F293" s="9"/>
      <c r="G293" s="9"/>
      <c r="H293" s="9"/>
      <c r="I293" s="9"/>
      <c r="J293" s="9">
        <v>1.0</v>
      </c>
      <c r="K293" s="9"/>
      <c r="L293" s="9"/>
      <c r="M293" s="9"/>
      <c r="N293" s="9"/>
      <c r="O293" s="9"/>
      <c r="P293" s="9"/>
      <c r="Q293" s="9"/>
      <c r="R293" s="9"/>
      <c r="S293" s="9"/>
      <c r="T293" s="9"/>
      <c r="U293" s="9"/>
      <c r="V293" s="9"/>
      <c r="W293" s="9"/>
      <c r="X293" s="9"/>
      <c r="Y293" s="9"/>
      <c r="Z293" s="9"/>
    </row>
    <row r="294">
      <c r="A294" s="54">
        <v>45887.71569700231</v>
      </c>
      <c r="B294" s="9"/>
      <c r="C294" s="9"/>
      <c r="D294" s="9">
        <v>1.0</v>
      </c>
      <c r="E294" s="9"/>
      <c r="F294" s="9"/>
      <c r="G294" s="9"/>
      <c r="H294" s="9"/>
      <c r="I294" s="9"/>
      <c r="J294" s="9">
        <v>1.0</v>
      </c>
      <c r="K294" s="9"/>
      <c r="L294" s="9"/>
      <c r="M294" s="9"/>
      <c r="N294" s="9"/>
      <c r="O294" s="9"/>
      <c r="P294" s="9"/>
      <c r="Q294" s="9"/>
      <c r="R294" s="9"/>
      <c r="S294" s="9"/>
      <c r="T294" s="9"/>
      <c r="U294" s="9"/>
      <c r="V294" s="9"/>
      <c r="W294" s="9"/>
      <c r="X294" s="9"/>
      <c r="Y294" s="9"/>
      <c r="Z294" s="9"/>
    </row>
    <row r="295">
      <c r="A295" s="54">
        <v>45887.9602947338</v>
      </c>
      <c r="B295" s="9"/>
      <c r="C295" s="9"/>
      <c r="D295" s="9">
        <v>1.0</v>
      </c>
      <c r="E295" s="9"/>
      <c r="F295" s="9"/>
      <c r="G295" s="9"/>
      <c r="H295" s="9"/>
      <c r="I295" s="9"/>
      <c r="J295" s="9">
        <v>1.0</v>
      </c>
      <c r="K295" s="9"/>
      <c r="L295" s="9"/>
      <c r="M295" s="9"/>
      <c r="N295" s="9"/>
      <c r="O295" s="9"/>
      <c r="P295" s="9"/>
      <c r="Q295" s="9"/>
      <c r="R295" s="9"/>
      <c r="S295" s="9"/>
      <c r="T295" s="9"/>
      <c r="U295" s="9"/>
      <c r="V295" s="9"/>
      <c r="W295" s="9"/>
      <c r="X295" s="9"/>
      <c r="Y295" s="9"/>
      <c r="Z295" s="9"/>
    </row>
    <row r="296">
      <c r="A296" s="54">
        <v>45889.53609111111</v>
      </c>
      <c r="B296" s="9"/>
      <c r="C296" s="9"/>
      <c r="D296" s="9">
        <v>1.0</v>
      </c>
      <c r="E296" s="9"/>
      <c r="F296" s="9"/>
      <c r="G296" s="9"/>
      <c r="H296" s="9"/>
      <c r="I296" s="9"/>
      <c r="J296" s="9">
        <v>1.0</v>
      </c>
      <c r="K296" s="9"/>
      <c r="L296" s="9"/>
      <c r="M296" s="9"/>
      <c r="N296" s="9"/>
      <c r="O296" s="9"/>
      <c r="P296" s="9"/>
      <c r="Q296" s="9"/>
      <c r="R296" s="9"/>
      <c r="S296" s="9"/>
      <c r="T296" s="9"/>
      <c r="U296" s="9"/>
      <c r="V296" s="9"/>
      <c r="W296" s="9"/>
      <c r="X296" s="9"/>
      <c r="Y296" s="9"/>
      <c r="Z296" s="9"/>
    </row>
    <row r="297">
      <c r="A297" s="54">
        <v>45889.53804671296</v>
      </c>
      <c r="B297" s="9"/>
      <c r="C297" s="9"/>
      <c r="D297" s="9">
        <v>1.0</v>
      </c>
      <c r="E297" s="9"/>
      <c r="F297" s="9"/>
      <c r="G297" s="9"/>
      <c r="H297" s="9"/>
      <c r="I297" s="9"/>
      <c r="J297" s="9">
        <v>1.0</v>
      </c>
      <c r="K297" s="9"/>
      <c r="L297" s="9"/>
      <c r="M297" s="9"/>
      <c r="N297" s="9"/>
      <c r="O297" s="9"/>
      <c r="P297" s="9"/>
      <c r="Q297" s="9"/>
      <c r="R297" s="9"/>
      <c r="S297" s="9"/>
      <c r="T297" s="9"/>
      <c r="U297" s="9"/>
      <c r="V297" s="9"/>
      <c r="W297" s="9"/>
      <c r="X297" s="9"/>
      <c r="Y297" s="9"/>
      <c r="Z297" s="9"/>
    </row>
    <row r="298">
      <c r="A298" s="54">
        <v>45889.65451890047</v>
      </c>
      <c r="B298" s="9"/>
      <c r="C298" s="9"/>
      <c r="D298" s="9">
        <v>1.0</v>
      </c>
      <c r="E298" s="9"/>
      <c r="F298" s="9"/>
      <c r="G298" s="9"/>
      <c r="H298" s="9"/>
      <c r="I298" s="9"/>
      <c r="J298" s="9">
        <v>1.0</v>
      </c>
      <c r="K298" s="9"/>
      <c r="L298" s="9"/>
      <c r="M298" s="9"/>
      <c r="N298" s="9"/>
      <c r="O298" s="9"/>
      <c r="P298" s="9"/>
      <c r="Q298" s="9"/>
      <c r="R298" s="9"/>
      <c r="S298" s="9"/>
      <c r="T298" s="9"/>
      <c r="U298" s="9"/>
      <c r="V298" s="9"/>
      <c r="W298" s="9"/>
      <c r="X298" s="9"/>
      <c r="Y298" s="9"/>
      <c r="Z298" s="9"/>
    </row>
    <row r="299">
      <c r="A299" s="54">
        <v>45894.57380622685</v>
      </c>
      <c r="B299" s="9"/>
      <c r="C299" s="9"/>
      <c r="D299" s="9">
        <v>1.0</v>
      </c>
      <c r="E299" s="9"/>
      <c r="F299" s="9"/>
      <c r="G299" s="9"/>
      <c r="H299" s="9"/>
      <c r="I299" s="9"/>
      <c r="J299" s="9">
        <v>1.0</v>
      </c>
      <c r="K299" s="9"/>
      <c r="L299" s="9"/>
      <c r="M299" s="9"/>
      <c r="N299" s="9"/>
      <c r="O299" s="9"/>
      <c r="P299" s="9"/>
      <c r="Q299" s="9"/>
      <c r="R299" s="9"/>
      <c r="S299" s="9"/>
      <c r="T299" s="9"/>
      <c r="U299" s="9"/>
      <c r="V299" s="9"/>
      <c r="W299" s="9"/>
      <c r="X299" s="9"/>
      <c r="Y299" s="9"/>
      <c r="Z299" s="9"/>
    </row>
    <row r="300">
      <c r="A300" s="54">
        <v>45894.60712944444</v>
      </c>
      <c r="B300" s="9"/>
      <c r="C300" s="9"/>
      <c r="D300" s="9">
        <v>1.0</v>
      </c>
      <c r="E300" s="9"/>
      <c r="F300" s="9"/>
      <c r="G300" s="9"/>
      <c r="H300" s="9"/>
      <c r="I300" s="9"/>
      <c r="J300" s="9">
        <v>1.0</v>
      </c>
      <c r="K300" s="9"/>
      <c r="L300" s="9"/>
      <c r="M300" s="9"/>
      <c r="N300" s="9"/>
      <c r="O300" s="9"/>
      <c r="P300" s="9"/>
      <c r="Q300" s="9"/>
      <c r="R300" s="9"/>
      <c r="S300" s="9"/>
      <c r="T300" s="9"/>
      <c r="U300" s="9"/>
      <c r="V300" s="9"/>
      <c r="W300" s="9"/>
      <c r="X300" s="9"/>
      <c r="Y300" s="9"/>
      <c r="Z300" s="9"/>
    </row>
    <row r="301">
      <c r="A301" s="54">
        <v>45896.398203125005</v>
      </c>
      <c r="B301" s="9"/>
      <c r="C301" s="9"/>
      <c r="D301" s="9">
        <v>1.0</v>
      </c>
      <c r="E301" s="9"/>
      <c r="F301" s="9"/>
      <c r="G301" s="9"/>
      <c r="H301" s="9"/>
      <c r="I301" s="9"/>
      <c r="J301" s="9">
        <v>1.0</v>
      </c>
      <c r="K301" s="9"/>
      <c r="L301" s="9"/>
      <c r="M301" s="9"/>
      <c r="N301" s="9"/>
      <c r="O301" s="9"/>
      <c r="P301" s="9"/>
      <c r="Q301" s="9"/>
      <c r="R301" s="9"/>
      <c r="S301" s="9"/>
      <c r="T301" s="9"/>
      <c r="U301" s="9"/>
      <c r="V301" s="9"/>
      <c r="W301" s="9"/>
      <c r="X301" s="9"/>
      <c r="Y301" s="9"/>
      <c r="Z301" s="9"/>
    </row>
    <row r="302">
      <c r="A302" s="54">
        <v>45896.423063055554</v>
      </c>
      <c r="B302" s="9"/>
      <c r="C302" s="9"/>
      <c r="D302" s="9">
        <v>1.0</v>
      </c>
      <c r="E302" s="9"/>
      <c r="F302" s="9"/>
      <c r="G302" s="9"/>
      <c r="H302" s="9"/>
      <c r="I302" s="9"/>
      <c r="J302" s="9">
        <v>1.0</v>
      </c>
      <c r="K302" s="9"/>
      <c r="L302" s="9"/>
      <c r="M302" s="9"/>
      <c r="N302" s="9"/>
      <c r="O302" s="9"/>
      <c r="P302" s="9"/>
      <c r="Q302" s="9"/>
      <c r="R302" s="9"/>
      <c r="S302" s="9"/>
      <c r="T302" s="9"/>
      <c r="U302" s="9"/>
      <c r="V302" s="9"/>
      <c r="W302" s="9"/>
      <c r="X302" s="9"/>
      <c r="Y302" s="9"/>
      <c r="Z302" s="9"/>
    </row>
    <row r="303">
      <c r="A303" s="54">
        <v>45896.42402943287</v>
      </c>
      <c r="B303" s="9"/>
      <c r="C303" s="9"/>
      <c r="D303" s="9">
        <v>1.0</v>
      </c>
      <c r="E303" s="9"/>
      <c r="F303" s="9"/>
      <c r="G303" s="9"/>
      <c r="H303" s="9"/>
      <c r="I303" s="9"/>
      <c r="J303" s="9">
        <v>1.0</v>
      </c>
      <c r="K303" s="9"/>
      <c r="L303" s="9"/>
      <c r="M303" s="9"/>
      <c r="N303" s="9"/>
      <c r="O303" s="9"/>
      <c r="P303" s="9"/>
      <c r="Q303" s="9"/>
      <c r="R303" s="9"/>
      <c r="S303" s="9"/>
      <c r="T303" s="9"/>
      <c r="U303" s="9"/>
      <c r="V303" s="9"/>
      <c r="W303" s="9"/>
      <c r="X303" s="9"/>
      <c r="Y303" s="9"/>
      <c r="Z303" s="9"/>
    </row>
    <row r="304">
      <c r="A304" s="54">
        <v>45896.42525028935</v>
      </c>
      <c r="B304" s="9"/>
      <c r="C304" s="9"/>
      <c r="D304" s="9">
        <v>1.0</v>
      </c>
      <c r="E304" s="9"/>
      <c r="F304" s="9"/>
      <c r="G304" s="9"/>
      <c r="H304" s="9"/>
      <c r="I304" s="9"/>
      <c r="J304" s="9">
        <v>1.0</v>
      </c>
      <c r="K304" s="9"/>
      <c r="L304" s="9"/>
      <c r="M304" s="9"/>
      <c r="N304" s="9"/>
      <c r="O304" s="9"/>
      <c r="P304" s="9"/>
      <c r="Q304" s="9"/>
      <c r="R304" s="9"/>
      <c r="S304" s="9"/>
      <c r="T304" s="9"/>
      <c r="U304" s="9"/>
      <c r="V304" s="9"/>
      <c r="W304" s="9"/>
      <c r="X304" s="9"/>
      <c r="Y304" s="9"/>
      <c r="Z304" s="9"/>
    </row>
    <row r="305">
      <c r="A305" s="54">
        <v>45896.61466302084</v>
      </c>
      <c r="B305" s="9"/>
      <c r="C305" s="9"/>
      <c r="D305" s="9">
        <v>1.0</v>
      </c>
      <c r="E305" s="9"/>
      <c r="F305" s="9"/>
      <c r="G305" s="9"/>
      <c r="H305" s="9"/>
      <c r="I305" s="9"/>
      <c r="J305" s="9">
        <v>1.0</v>
      </c>
      <c r="K305" s="9"/>
      <c r="L305" s="9"/>
      <c r="M305" s="9"/>
      <c r="N305" s="9"/>
      <c r="O305" s="9"/>
      <c r="P305" s="9"/>
      <c r="Q305" s="9"/>
      <c r="R305" s="9"/>
      <c r="S305" s="9"/>
      <c r="T305" s="9"/>
      <c r="U305" s="9"/>
      <c r="V305" s="9"/>
      <c r="W305" s="9"/>
      <c r="X305" s="9"/>
      <c r="Y305" s="9"/>
      <c r="Z305" s="9"/>
    </row>
    <row r="306">
      <c r="A306" s="54">
        <v>45896.61661165509</v>
      </c>
      <c r="B306" s="9"/>
      <c r="C306" s="9"/>
      <c r="D306" s="9">
        <v>1.0</v>
      </c>
      <c r="E306" s="9"/>
      <c r="F306" s="9"/>
      <c r="G306" s="9"/>
      <c r="H306" s="9"/>
      <c r="I306" s="9"/>
      <c r="J306" s="9">
        <v>1.0</v>
      </c>
      <c r="K306" s="9"/>
      <c r="L306" s="9"/>
      <c r="M306" s="9"/>
      <c r="N306" s="9"/>
      <c r="O306" s="9"/>
      <c r="P306" s="9"/>
      <c r="Q306" s="9"/>
      <c r="R306" s="9"/>
      <c r="S306" s="9"/>
      <c r="T306" s="9"/>
      <c r="U306" s="9"/>
      <c r="V306" s="9"/>
      <c r="W306" s="9"/>
      <c r="X306" s="9"/>
      <c r="Y306" s="9"/>
      <c r="Z306" s="9"/>
    </row>
    <row r="307">
      <c r="A307" s="54">
        <v>45896.721040335644</v>
      </c>
      <c r="B307" s="9"/>
      <c r="C307" s="9"/>
      <c r="D307" s="9">
        <v>1.0</v>
      </c>
      <c r="E307" s="9"/>
      <c r="F307" s="9"/>
      <c r="G307" s="9"/>
      <c r="H307" s="9"/>
      <c r="I307" s="9"/>
      <c r="J307" s="9">
        <v>1.0</v>
      </c>
      <c r="K307" s="9"/>
      <c r="L307" s="9"/>
      <c r="M307" s="9"/>
      <c r="N307" s="9"/>
      <c r="O307" s="9"/>
      <c r="P307" s="9"/>
      <c r="Q307" s="9"/>
      <c r="R307" s="9"/>
      <c r="S307" s="9"/>
      <c r="T307" s="9"/>
      <c r="U307" s="9"/>
      <c r="V307" s="9"/>
      <c r="W307" s="9"/>
      <c r="X307" s="9"/>
      <c r="Y307" s="9"/>
      <c r="Z307" s="9"/>
    </row>
    <row r="308">
      <c r="A308" s="54">
        <v>45896.73233990741</v>
      </c>
      <c r="B308" s="9"/>
      <c r="C308" s="9"/>
      <c r="D308" s="9">
        <v>1.0</v>
      </c>
      <c r="E308" s="9"/>
      <c r="F308" s="9"/>
      <c r="G308" s="9"/>
      <c r="H308" s="9"/>
      <c r="I308" s="9"/>
      <c r="J308" s="9">
        <v>1.0</v>
      </c>
      <c r="K308" s="9"/>
      <c r="L308" s="9"/>
      <c r="M308" s="9"/>
      <c r="N308" s="9"/>
      <c r="O308" s="9"/>
      <c r="P308" s="9"/>
      <c r="Q308" s="9"/>
      <c r="R308" s="9"/>
      <c r="S308" s="9"/>
      <c r="T308" s="9"/>
      <c r="U308" s="9"/>
      <c r="V308" s="9"/>
      <c r="W308" s="9"/>
      <c r="X308" s="9"/>
      <c r="Y308" s="9"/>
      <c r="Z308" s="9"/>
    </row>
    <row r="309">
      <c r="A309" s="54">
        <v>45896.73451677083</v>
      </c>
      <c r="B309" s="9"/>
      <c r="C309" s="9"/>
      <c r="D309" s="9">
        <v>1.0</v>
      </c>
      <c r="E309" s="9"/>
      <c r="F309" s="9"/>
      <c r="G309" s="9"/>
      <c r="H309" s="9"/>
      <c r="I309" s="9"/>
      <c r="J309" s="9">
        <v>1.0</v>
      </c>
      <c r="K309" s="9"/>
      <c r="L309" s="9"/>
      <c r="M309" s="9"/>
      <c r="N309" s="9"/>
      <c r="O309" s="9"/>
      <c r="P309" s="9"/>
      <c r="Q309" s="9"/>
      <c r="R309" s="9"/>
      <c r="S309" s="9"/>
      <c r="T309" s="9"/>
      <c r="U309" s="9"/>
      <c r="V309" s="9"/>
      <c r="W309" s="9"/>
      <c r="X309" s="9"/>
      <c r="Y309" s="9"/>
      <c r="Z309" s="9"/>
    </row>
    <row r="310">
      <c r="A310" s="54">
        <v>45896.739739259254</v>
      </c>
      <c r="B310" s="9"/>
      <c r="C310" s="9"/>
      <c r="D310" s="9">
        <v>1.0</v>
      </c>
      <c r="E310" s="9"/>
      <c r="F310" s="9"/>
      <c r="G310" s="9"/>
      <c r="H310" s="9"/>
      <c r="I310" s="9"/>
      <c r="J310" s="9">
        <v>1.0</v>
      </c>
      <c r="K310" s="9"/>
      <c r="L310" s="9"/>
      <c r="M310" s="9"/>
      <c r="N310" s="9"/>
      <c r="O310" s="9"/>
      <c r="P310" s="9"/>
      <c r="Q310" s="9"/>
      <c r="R310" s="9"/>
      <c r="S310" s="9"/>
      <c r="T310" s="9"/>
      <c r="U310" s="9"/>
      <c r="V310" s="9"/>
      <c r="W310" s="9"/>
      <c r="X310" s="9"/>
      <c r="Y310" s="9"/>
      <c r="Z310" s="9"/>
    </row>
    <row r="311">
      <c r="A311" s="54">
        <v>45898.56469046296</v>
      </c>
      <c r="B311" s="9"/>
      <c r="C311" s="9"/>
      <c r="D311" s="9">
        <v>1.0</v>
      </c>
      <c r="E311" s="9"/>
      <c r="F311" s="9"/>
      <c r="G311" s="9"/>
      <c r="H311" s="9"/>
      <c r="I311" s="9"/>
      <c r="J311" s="9">
        <v>1.0</v>
      </c>
      <c r="K311" s="9"/>
      <c r="L311" s="9"/>
      <c r="M311" s="9"/>
      <c r="N311" s="9"/>
      <c r="O311" s="9"/>
      <c r="P311" s="9"/>
      <c r="Q311" s="9"/>
      <c r="R311" s="9"/>
      <c r="S311" s="9"/>
      <c r="T311" s="9"/>
      <c r="U311" s="9"/>
      <c r="V311" s="9"/>
      <c r="W311" s="9"/>
      <c r="X311" s="9"/>
      <c r="Y311" s="9"/>
      <c r="Z311" s="9"/>
    </row>
    <row r="312">
      <c r="A312" s="54">
        <v>45902.60290957176</v>
      </c>
      <c r="B312" s="9"/>
      <c r="C312" s="9"/>
      <c r="D312" s="9">
        <v>1.0</v>
      </c>
      <c r="E312" s="9"/>
      <c r="F312" s="9"/>
      <c r="G312" s="9"/>
      <c r="H312" s="9"/>
      <c r="I312" s="9"/>
      <c r="J312" s="9">
        <v>1.0</v>
      </c>
      <c r="K312" s="9"/>
      <c r="L312" s="9"/>
      <c r="M312" s="9"/>
      <c r="N312" s="9"/>
      <c r="O312" s="9"/>
      <c r="P312" s="9"/>
      <c r="Q312" s="9"/>
      <c r="R312" s="9"/>
      <c r="S312" s="9"/>
      <c r="T312" s="9"/>
      <c r="U312" s="9"/>
      <c r="V312" s="9"/>
      <c r="W312" s="9"/>
      <c r="X312" s="9"/>
      <c r="Y312" s="9"/>
      <c r="Z312" s="9"/>
    </row>
    <row r="313">
      <c r="A313" s="55">
        <v>45903.600949074076</v>
      </c>
      <c r="B313" s="9"/>
      <c r="C313" s="9"/>
      <c r="D313" s="9">
        <v>1.0</v>
      </c>
      <c r="E313" s="9"/>
      <c r="F313" s="9"/>
      <c r="G313" s="9"/>
      <c r="H313" s="9"/>
      <c r="I313" s="9"/>
      <c r="J313" s="9">
        <v>1.0</v>
      </c>
      <c r="K313" s="9"/>
      <c r="L313" s="9"/>
      <c r="M313" s="9"/>
      <c r="N313" s="9"/>
      <c r="O313" s="9"/>
      <c r="P313" s="9"/>
      <c r="Q313" s="9"/>
      <c r="R313" s="9"/>
      <c r="S313" s="9"/>
      <c r="T313" s="9"/>
      <c r="U313" s="9"/>
      <c r="V313" s="9"/>
      <c r="W313" s="9"/>
      <c r="X313" s="9"/>
      <c r="Y313" s="9"/>
      <c r="Z313" s="9"/>
    </row>
    <row r="314">
      <c r="A314" s="54">
        <v>45912.423421747684</v>
      </c>
      <c r="B314" s="9"/>
      <c r="C314" s="9"/>
      <c r="D314" s="9"/>
      <c r="E314" s="9"/>
      <c r="F314" s="9"/>
      <c r="G314" s="9"/>
      <c r="H314" s="9"/>
      <c r="I314" s="9">
        <v>1.0</v>
      </c>
      <c r="J314" s="9">
        <v>1.0</v>
      </c>
      <c r="K314" s="9"/>
      <c r="L314" s="9"/>
      <c r="M314" s="9"/>
      <c r="N314" s="9"/>
      <c r="O314" s="9"/>
      <c r="P314" s="9"/>
      <c r="Q314" s="9"/>
      <c r="R314" s="9"/>
      <c r="S314" s="9"/>
      <c r="T314" s="9"/>
      <c r="U314" s="9"/>
      <c r="V314" s="9"/>
      <c r="W314" s="9"/>
      <c r="X314" s="9"/>
      <c r="Y314" s="9"/>
      <c r="Z314" s="9"/>
    </row>
    <row r="315">
      <c r="A315" s="9" t="s">
        <v>615</v>
      </c>
      <c r="B315" s="9"/>
      <c r="C315" s="9">
        <v>1.0</v>
      </c>
      <c r="D315" s="9"/>
      <c r="E315" s="9"/>
      <c r="F315" s="9"/>
      <c r="G315" s="9">
        <v>3.0</v>
      </c>
      <c r="H315" s="9"/>
      <c r="I315" s="9"/>
      <c r="J315" s="9">
        <v>4.0</v>
      </c>
      <c r="K315" s="9"/>
      <c r="L315" s="9"/>
      <c r="M315" s="9"/>
      <c r="N315" s="9"/>
      <c r="O315" s="9"/>
      <c r="P315" s="9"/>
      <c r="Q315" s="9"/>
      <c r="R315" s="9"/>
      <c r="S315" s="9"/>
      <c r="T315" s="9"/>
      <c r="U315" s="9"/>
      <c r="V315" s="9"/>
      <c r="W315" s="9"/>
      <c r="X315" s="9"/>
      <c r="Y315" s="9"/>
      <c r="Z315" s="9"/>
    </row>
    <row r="316">
      <c r="A316" s="9" t="s">
        <v>106</v>
      </c>
      <c r="B316" s="9"/>
      <c r="C316" s="9"/>
      <c r="D316" s="9"/>
      <c r="E316" s="9">
        <v>3.0</v>
      </c>
      <c r="F316" s="9"/>
      <c r="G316" s="9"/>
      <c r="H316" s="9"/>
      <c r="I316" s="9"/>
      <c r="J316" s="9">
        <v>3.0</v>
      </c>
      <c r="K316" s="9"/>
      <c r="L316" s="9"/>
      <c r="M316" s="9"/>
      <c r="N316" s="9"/>
      <c r="O316" s="9"/>
      <c r="P316" s="9"/>
      <c r="Q316" s="9"/>
      <c r="R316" s="9"/>
      <c r="S316" s="9"/>
      <c r="T316" s="9"/>
      <c r="U316" s="9"/>
      <c r="V316" s="9"/>
      <c r="W316" s="9"/>
      <c r="X316" s="9"/>
      <c r="Y316" s="9"/>
      <c r="Z316" s="9"/>
    </row>
    <row r="317">
      <c r="A317" s="9" t="s">
        <v>110</v>
      </c>
      <c r="B317" s="9"/>
      <c r="C317" s="9"/>
      <c r="D317" s="9"/>
      <c r="E317" s="9"/>
      <c r="F317" s="9"/>
      <c r="G317" s="9"/>
      <c r="H317" s="9">
        <v>1.0</v>
      </c>
      <c r="I317" s="9"/>
      <c r="J317" s="9">
        <v>1.0</v>
      </c>
      <c r="K317" s="9"/>
      <c r="L317" s="9"/>
      <c r="M317" s="9"/>
      <c r="N317" s="9"/>
      <c r="O317" s="9"/>
      <c r="P317" s="9"/>
      <c r="Q317" s="9"/>
      <c r="R317" s="9"/>
      <c r="S317" s="9"/>
      <c r="T317" s="9"/>
      <c r="U317" s="9"/>
      <c r="V317" s="9"/>
      <c r="W317" s="9"/>
      <c r="X317" s="9"/>
      <c r="Y317" s="9"/>
      <c r="Z317" s="9"/>
    </row>
    <row r="318">
      <c r="A318" s="9" t="s">
        <v>650</v>
      </c>
      <c r="B318" s="9">
        <v>0.0</v>
      </c>
      <c r="C318" s="9">
        <v>64.0</v>
      </c>
      <c r="D318" s="9">
        <v>57.0</v>
      </c>
      <c r="E318" s="9">
        <v>74.0</v>
      </c>
      <c r="F318" s="9">
        <v>1.0</v>
      </c>
      <c r="G318" s="9">
        <v>66.0</v>
      </c>
      <c r="H318" s="9">
        <v>59.0</v>
      </c>
      <c r="I318" s="9">
        <v>1.0</v>
      </c>
      <c r="J318" s="9">
        <v>322.0</v>
      </c>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